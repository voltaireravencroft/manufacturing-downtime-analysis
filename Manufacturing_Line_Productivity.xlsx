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Manufacturing+Downtime\"/>
    </mc:Choice>
  </mc:AlternateContent>
  <xr:revisionPtr revIDLastSave="0" documentId="13_ncr:1_{487F845F-400C-4093-A121-001FF804971F}" xr6:coauthVersionLast="47" xr6:coauthVersionMax="47" xr10:uidLastSave="{00000000-0000-0000-0000-000000000000}"/>
  <bookViews>
    <workbookView xWindow="-108" yWindow="-108" windowWidth="30936" windowHeight="16776" activeTab="5" xr2:uid="{8FF62ED8-A67E-423F-8325-F23DB684777C}"/>
  </bookViews>
  <sheets>
    <sheet name="Line productivity" sheetId="1" r:id="rId1"/>
    <sheet name="Products" sheetId="8" r:id="rId2"/>
    <sheet name="Downtime factors" sheetId="3" r:id="rId3"/>
    <sheet name="Line downtime" sheetId="2" r:id="rId4"/>
    <sheet name="Analysis" sheetId="9" r:id="rId5"/>
    <sheet name="Dashboard" sheetId="10" r:id="rId6"/>
  </sheets>
  <definedNames>
    <definedName name="_xlnm._FilterDatabase" localSheetId="2" hidden="1">'Downtime factors'!$A$1:$C$13</definedName>
    <definedName name="_xlnm._FilterDatabase" localSheetId="0" hidden="1">'Line productivity'!$A$1:$F$39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" i="9" l="1"/>
  <c r="H44" i="9"/>
  <c r="H45" i="9"/>
  <c r="H46" i="9"/>
  <c r="I44" i="9"/>
  <c r="I45" i="9"/>
  <c r="I46" i="9"/>
  <c r="I43" i="9"/>
  <c r="G44" i="9"/>
  <c r="G45" i="9"/>
  <c r="G46" i="9"/>
  <c r="F43" i="9"/>
  <c r="D44" i="9"/>
  <c r="G43" i="9"/>
  <c r="F44" i="9"/>
  <c r="F45" i="9"/>
  <c r="F46" i="9"/>
  <c r="E43" i="9"/>
  <c r="E44" i="9"/>
  <c r="E45" i="9"/>
  <c r="E46" i="9"/>
  <c r="D45" i="9"/>
  <c r="D46" i="9"/>
  <c r="D43" i="9"/>
  <c r="Q3" i="9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Q2" i="9"/>
  <c r="P2" i="9"/>
  <c r="O2" i="9"/>
  <c r="N2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2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2" i="9"/>
  <c r="C41" i="2"/>
  <c r="D41" i="2"/>
  <c r="E41" i="2"/>
  <c r="F41" i="2"/>
  <c r="G41" i="2"/>
  <c r="H41" i="2"/>
  <c r="I41" i="2"/>
  <c r="J41" i="2"/>
  <c r="K41" i="2"/>
  <c r="L41" i="2"/>
  <c r="M41" i="2"/>
  <c r="B41" i="2"/>
  <c r="B44" i="9"/>
  <c r="B45" i="9"/>
  <c r="B46" i="9"/>
  <c r="B43" i="9"/>
  <c r="I40" i="9"/>
  <c r="J2" i="9"/>
  <c r="J3" i="9"/>
  <c r="K3" i="9" s="1"/>
  <c r="J4" i="9"/>
  <c r="K4" i="9" s="1"/>
  <c r="J5" i="9"/>
  <c r="K5" i="9" s="1"/>
  <c r="J6" i="9"/>
  <c r="K6" i="9" s="1"/>
  <c r="J7" i="9"/>
  <c r="K7" i="9" s="1"/>
  <c r="J8" i="9"/>
  <c r="K8" i="9" s="1"/>
  <c r="J9" i="9"/>
  <c r="K9" i="9" s="1"/>
  <c r="J10" i="9"/>
  <c r="K10" i="9" s="1"/>
  <c r="J11" i="9"/>
  <c r="K11" i="9" s="1"/>
  <c r="J12" i="9"/>
  <c r="J13" i="9"/>
  <c r="K13" i="9" s="1"/>
  <c r="J14" i="9"/>
  <c r="K14" i="9" s="1"/>
  <c r="J15" i="9"/>
  <c r="K15" i="9" s="1"/>
  <c r="J16" i="9"/>
  <c r="K16" i="9" s="1"/>
  <c r="J17" i="9"/>
  <c r="K17" i="9" s="1"/>
  <c r="J18" i="9"/>
  <c r="K18" i="9" s="1"/>
  <c r="J19" i="9"/>
  <c r="K19" i="9" s="1"/>
  <c r="J20" i="9"/>
  <c r="K20" i="9" s="1"/>
  <c r="J21" i="9"/>
  <c r="K21" i="9" s="1"/>
  <c r="J22" i="9"/>
  <c r="K22" i="9" s="1"/>
  <c r="J23" i="9"/>
  <c r="K23" i="9" s="1"/>
  <c r="J24" i="9"/>
  <c r="K24" i="9" s="1"/>
  <c r="J25" i="9"/>
  <c r="K25" i="9" s="1"/>
  <c r="J26" i="9"/>
  <c r="K26" i="9" s="1"/>
  <c r="J27" i="9"/>
  <c r="K27" i="9" s="1"/>
  <c r="J28" i="9"/>
  <c r="K28" i="9" s="1"/>
  <c r="J29" i="9"/>
  <c r="K29" i="9" s="1"/>
  <c r="J30" i="9"/>
  <c r="K30" i="9" s="1"/>
  <c r="J31" i="9"/>
  <c r="K31" i="9" s="1"/>
  <c r="J32" i="9"/>
  <c r="K32" i="9" s="1"/>
  <c r="J33" i="9"/>
  <c r="K33" i="9" s="1"/>
  <c r="J34" i="9"/>
  <c r="K34" i="9" s="1"/>
  <c r="J35" i="9"/>
  <c r="K35" i="9" s="1"/>
  <c r="J36" i="9"/>
  <c r="K36" i="9" s="1"/>
  <c r="J37" i="9"/>
  <c r="K37" i="9" s="1"/>
  <c r="J38" i="9"/>
  <c r="K38" i="9" s="1"/>
  <c r="J39" i="9"/>
  <c r="K39" i="9" s="1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2" i="9"/>
  <c r="C43" i="9" l="1"/>
  <c r="C46" i="9"/>
  <c r="C44" i="9"/>
  <c r="K2" i="9"/>
  <c r="K12" i="9"/>
  <c r="C45" i="9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<sst xmlns="http://schemas.openxmlformats.org/spreadsheetml/2006/main" count="262" uniqueCount="70">
  <si>
    <t>Date</t>
  </si>
  <si>
    <t>Product</t>
  </si>
  <si>
    <t>Batch</t>
  </si>
  <si>
    <t>Operator</t>
  </si>
  <si>
    <t>Start Time</t>
  </si>
  <si>
    <t>End Time</t>
  </si>
  <si>
    <t>Factor</t>
  </si>
  <si>
    <t>Operator Error</t>
  </si>
  <si>
    <t>Batch change</t>
  </si>
  <si>
    <t>Machine adjustment</t>
  </si>
  <si>
    <t>Product spill</t>
  </si>
  <si>
    <t>Label switch</t>
  </si>
  <si>
    <t>Machine failure</t>
  </si>
  <si>
    <t>Batch coding error</t>
  </si>
  <si>
    <t>Inventory shortage</t>
  </si>
  <si>
    <t>Conveyor belt jam</t>
  </si>
  <si>
    <t>Other</t>
  </si>
  <si>
    <t>Emergency stop</t>
  </si>
  <si>
    <t>Calibration error</t>
  </si>
  <si>
    <t>Labeling error</t>
  </si>
  <si>
    <t>No</t>
  </si>
  <si>
    <t>Yes</t>
  </si>
  <si>
    <t>Description</t>
  </si>
  <si>
    <t>Downtime factor</t>
  </si>
  <si>
    <t>OR-600</t>
  </si>
  <si>
    <t>LE-600</t>
  </si>
  <si>
    <t>CO-600</t>
  </si>
  <si>
    <t>DC-600</t>
  </si>
  <si>
    <t>RB-600</t>
  </si>
  <si>
    <t>CO-2L</t>
  </si>
  <si>
    <t>Flavor</t>
  </si>
  <si>
    <t>Size</t>
  </si>
  <si>
    <t>Orange</t>
  </si>
  <si>
    <t>Lemon lime</t>
  </si>
  <si>
    <t>Cola</t>
  </si>
  <si>
    <t>Diet Cola</t>
  </si>
  <si>
    <t>Root Beer</t>
  </si>
  <si>
    <t>2 L</t>
  </si>
  <si>
    <t>600 ml</t>
  </si>
  <si>
    <t>Min batch time</t>
  </si>
  <si>
    <t>Charlie</t>
  </si>
  <si>
    <t>Dee</t>
  </si>
  <si>
    <t>Dennis</t>
  </si>
  <si>
    <t>Mac</t>
  </si>
  <si>
    <t>Actual Duration</t>
  </si>
  <si>
    <t>Min Batch Time</t>
  </si>
  <si>
    <t>Efficiency %</t>
  </si>
  <si>
    <t>Total Downtime (min)</t>
  </si>
  <si>
    <t>Eficiency w/o Downtime %</t>
  </si>
  <si>
    <t>Avg Efficiency %</t>
  </si>
  <si>
    <t>Avg Downtime (min)</t>
  </si>
  <si>
    <t>TOTAL</t>
  </si>
  <si>
    <t>Batch Change (F2)</t>
  </si>
  <si>
    <t>Product Spill (F5)</t>
  </si>
  <si>
    <t>Machine Adj (F6)</t>
  </si>
  <si>
    <t>Batch Code Error (F8)</t>
  </si>
  <si>
    <t>Calibration Error (F10)</t>
  </si>
  <si>
    <t>Label Switch (F11)</t>
  </si>
  <si>
    <t>Batch Change</t>
  </si>
  <si>
    <t>Product Spill</t>
  </si>
  <si>
    <t>Machine Adj</t>
  </si>
  <si>
    <t>Batch Code Error</t>
  </si>
  <si>
    <t>Calibration Error</t>
  </si>
  <si>
    <t>Label Switch</t>
  </si>
  <si>
    <t>Downtime Factor</t>
  </si>
  <si>
    <t>Total Minutes</t>
  </si>
  <si>
    <t>Factor 4: Inventory Shortage</t>
  </si>
  <si>
    <t>Factor 5: Product Spill</t>
  </si>
  <si>
    <t>Factor 7: Machine Failure</t>
  </si>
  <si>
    <t>Callibration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</si>
</sst>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hh:mm:ss"/>
    <numFmt numFmtId="166" formatCode="0.0%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0" xfId="0" applyNumberFormat="1"/>
    <xf numFmtId="0" fontId="1" fillId="2" borderId="0" xfId="0" applyFont="1" applyFill="1"/>
    <xf numFmtId="165" fontId="0" fillId="0" borderId="0" xfId="0" applyNumberFormat="1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/>
    <xf numFmtId="1" fontId="0" fillId="0" borderId="0" xfId="0" applyNumberFormat="1"/>
    <xf numFmtId="166" fontId="1" fillId="2" borderId="0" xfId="0" applyNumberFormat="1" applyFont="1" applyFill="1"/>
    <xf numFmtId="166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3" fillId="3" borderId="2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4" borderId="2" xfId="0" applyNumberFormat="1" applyFont="1" applyFill="1" applyBorder="1" applyAlignment="1">
      <alignment horizontal="center" vertical="center"/>
    </xf>
    <xf numFmtId="1" fontId="0" fillId="0" borderId="2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" fontId="0" fillId="0" borderId="3" xfId="0" applyNumberFormat="1" applyFont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6" fontId="0" fillId="0" borderId="1" xfId="0" applyNumberFormat="1" applyFont="1" applyBorder="1" applyAlignment="1">
      <alignment horizontal="center" vertical="center"/>
    </xf>
    <xf numFmtId="166" fontId="0" fillId="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1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0.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3/09/relationships/Python" Target="pyth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Operator Efficiency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Dashboard!$A$2:$A$5</c:f>
              <c:strCache>
                <c:ptCount val="4"/>
                <c:pt idx="0">
                  <c:v>Mac</c:v>
                </c:pt>
                <c:pt idx="1">
                  <c:v>Charlie</c:v>
                </c:pt>
                <c:pt idx="2">
                  <c:v>Dee</c:v>
                </c:pt>
                <c:pt idx="3">
                  <c:v>Dennis</c:v>
                </c:pt>
              </c:strCache>
            </c:strRef>
          </c:cat>
          <c:val>
            <c:numRef>
              <c:f>Dashboard!$B$2:$B$5</c:f>
              <c:numCache>
                <c:formatCode>0.0%</c:formatCode>
                <c:ptCount val="4"/>
                <c:pt idx="0">
                  <c:v>0.63257853257853258</c:v>
                </c:pt>
                <c:pt idx="1">
                  <c:v>0.70973000821296428</c:v>
                </c:pt>
                <c:pt idx="2">
                  <c:v>0.66809779110617284</c:v>
                </c:pt>
                <c:pt idx="3">
                  <c:v>0.65905133069910826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35-428E-9137-3F4B518DA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0093215"/>
        <c:axId val="570094175"/>
      </c:barChart>
      <c:catAx>
        <c:axId val="570093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Overall Line  Efficiency: 67.1%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094175"/>
        <c:crosses val="autoZero"/>
        <c:auto val="1"/>
        <c:lblAlgn val="ctr"/>
        <c:lblOffset val="100"/>
        <c:noMultiLvlLbl val="0"/>
      </c:catAx>
      <c:valAx>
        <c:axId val="57009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093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Downtime Factors</a:t>
            </a:r>
          </a:p>
        </c:rich>
      </c:tx>
      <c:layout>
        <c:manualLayout>
          <c:xMode val="edge"/>
          <c:yMode val="edge"/>
          <c:x val="0.3892777777777777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</c:f>
              <c:strCache>
                <c:ptCount val="1"/>
                <c:pt idx="0">
                  <c:v>Avg Efficiency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Dashboard!$F$2:$F$4</c:f>
              <c:strCache>
                <c:ptCount val="3"/>
                <c:pt idx="0">
                  <c:v>Factor 4: Inventory Shortage</c:v>
                </c:pt>
                <c:pt idx="1">
                  <c:v>Factor 5: Product Spill</c:v>
                </c:pt>
                <c:pt idx="2">
                  <c:v>Factor 7: Machine Failure</c:v>
                </c:pt>
              </c:strCache>
            </c:strRef>
          </c:cat>
          <c:val>
            <c:numRef>
              <c:f>Dashboard!$G$2:$G$4</c:f>
              <c:numCache>
                <c:formatCode>General</c:formatCode>
                <c:ptCount val="3"/>
                <c:pt idx="0">
                  <c:v>229</c:v>
                </c:pt>
                <c:pt idx="1">
                  <c:v>338</c:v>
                </c:pt>
                <c:pt idx="2">
                  <c:v>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BE-41FF-A5F7-8BCED8C11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1336959"/>
        <c:axId val="581335519"/>
      </c:barChart>
      <c:catAx>
        <c:axId val="58133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35519"/>
        <c:crosses val="autoZero"/>
        <c:auto val="1"/>
        <c:lblAlgn val="ctr"/>
        <c:lblOffset val="100"/>
        <c:noMultiLvlLbl val="0"/>
      </c:catAx>
      <c:valAx>
        <c:axId val="58133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36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Operator Error Breakdown by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Dashboard!$L$1</c:f>
              <c:strCache>
                <c:ptCount val="1"/>
                <c:pt idx="0">
                  <c:v>Batch Change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Dashboard!$K$2:$K$5</c:f>
              <c:strCache>
                <c:ptCount val="4"/>
                <c:pt idx="0">
                  <c:v>Mac</c:v>
                </c:pt>
                <c:pt idx="1">
                  <c:v>Charlie</c:v>
                </c:pt>
                <c:pt idx="2">
                  <c:v>Dee</c:v>
                </c:pt>
                <c:pt idx="3">
                  <c:v>Dennis</c:v>
                </c:pt>
              </c:strCache>
            </c:strRef>
          </c:cat>
          <c:val>
            <c:numRef>
              <c:f>Dashboard!$L$2:$L$5</c:f>
              <c:numCache>
                <c:formatCode>0</c:formatCode>
                <c:ptCount val="4"/>
                <c:pt idx="0">
                  <c:v>130</c:v>
                </c:pt>
                <c:pt idx="1">
                  <c:v>10</c:v>
                </c:pt>
                <c:pt idx="2">
                  <c:v>20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AF-4744-9FDD-2BFA23B4BE9C}"/>
            </c:ext>
          </c:extLst>
        </c:ser>
        <c:ser>
          <c:idx val="1"/>
          <c:order val="1"/>
          <c:tx>
            <c:strRef>
              <c:f>Dashboard!$M$1</c:f>
              <c:strCache>
                <c:ptCount val="1"/>
                <c:pt idx="0">
                  <c:v>Product Spill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Dashboard!$K$2:$K$5</c:f>
              <c:strCache>
                <c:ptCount val="4"/>
                <c:pt idx="0">
                  <c:v>Mac</c:v>
                </c:pt>
                <c:pt idx="1">
                  <c:v>Charlie</c:v>
                </c:pt>
                <c:pt idx="2">
                  <c:v>Dee</c:v>
                </c:pt>
                <c:pt idx="3">
                  <c:v>Dennis</c:v>
                </c:pt>
              </c:strCache>
            </c:strRef>
          </c:cat>
          <c:val>
            <c:numRef>
              <c:f>Dashboard!$M$2:$M$5</c:f>
              <c:numCache>
                <c:formatCode>0</c:formatCode>
                <c:ptCount val="4"/>
                <c:pt idx="0">
                  <c:v>0</c:v>
                </c:pt>
                <c:pt idx="1">
                  <c:v>22</c:v>
                </c:pt>
                <c:pt idx="2">
                  <c:v>15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AF-4744-9FDD-2BFA23B4BE9C}"/>
            </c:ext>
          </c:extLst>
        </c:ser>
        <c:ser>
          <c:idx val="2"/>
          <c:order val="2"/>
          <c:tx>
            <c:strRef>
              <c:f>Dashboard!$N$1</c:f>
              <c:strCache>
                <c:ptCount val="1"/>
                <c:pt idx="0">
                  <c:v>Machine Adj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Dashboard!$K$2:$K$5</c:f>
              <c:strCache>
                <c:ptCount val="4"/>
                <c:pt idx="0">
                  <c:v>Mac</c:v>
                </c:pt>
                <c:pt idx="1">
                  <c:v>Charlie</c:v>
                </c:pt>
                <c:pt idx="2">
                  <c:v>Dee</c:v>
                </c:pt>
                <c:pt idx="3">
                  <c:v>Dennis</c:v>
                </c:pt>
              </c:strCache>
            </c:strRef>
          </c:cat>
          <c:val>
            <c:numRef>
              <c:f>Dashboard!$N$2:$N$5</c:f>
              <c:numCache>
                <c:formatCode>0</c:formatCode>
                <c:ptCount val="4"/>
                <c:pt idx="0">
                  <c:v>15</c:v>
                </c:pt>
                <c:pt idx="1">
                  <c:v>118</c:v>
                </c:pt>
                <c:pt idx="2">
                  <c:v>79</c:v>
                </c:pt>
                <c:pt idx="3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AF-4744-9FDD-2BFA23B4BE9C}"/>
            </c:ext>
          </c:extLst>
        </c:ser>
        <c:ser>
          <c:idx val="3"/>
          <c:order val="3"/>
          <c:tx>
            <c:strRef>
              <c:f>Dashboard!$O$1</c:f>
              <c:strCache>
                <c:ptCount val="1"/>
                <c:pt idx="0">
                  <c:v>Batch Code Error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Dashboard!$K$2:$K$5</c:f>
              <c:strCache>
                <c:ptCount val="4"/>
                <c:pt idx="0">
                  <c:v>Mac</c:v>
                </c:pt>
                <c:pt idx="1">
                  <c:v>Charlie</c:v>
                </c:pt>
                <c:pt idx="2">
                  <c:v>Dee</c:v>
                </c:pt>
                <c:pt idx="3">
                  <c:v>Dennis</c:v>
                </c:pt>
              </c:strCache>
            </c:strRef>
          </c:cat>
          <c:val>
            <c:numRef>
              <c:f>Dashboard!$O$2:$O$5</c:f>
              <c:numCache>
                <c:formatCode>0</c:formatCode>
                <c:ptCount val="4"/>
                <c:pt idx="0">
                  <c:v>47</c:v>
                </c:pt>
                <c:pt idx="1">
                  <c:v>44</c:v>
                </c:pt>
                <c:pt idx="2">
                  <c:v>30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AF-4744-9FDD-2BFA23B4BE9C}"/>
            </c:ext>
          </c:extLst>
        </c:ser>
        <c:ser>
          <c:idx val="4"/>
          <c:order val="4"/>
          <c:tx>
            <c:strRef>
              <c:f>Dashboard!$P$1</c:f>
              <c:strCache>
                <c:ptCount val="1"/>
                <c:pt idx="0">
                  <c:v>Callibration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Dashboard!$K$2:$K$5</c:f>
              <c:strCache>
                <c:ptCount val="4"/>
                <c:pt idx="0">
                  <c:v>Mac</c:v>
                </c:pt>
                <c:pt idx="1">
                  <c:v>Charlie</c:v>
                </c:pt>
                <c:pt idx="2">
                  <c:v>Dee</c:v>
                </c:pt>
                <c:pt idx="3">
                  <c:v>Dennis</c:v>
                </c:pt>
              </c:strCache>
            </c:strRef>
          </c:cat>
          <c:val>
            <c:numRef>
              <c:f>Dashboard!$P$2:$P$5</c:f>
              <c:numCache>
                <c:formatCode>0</c:formatCode>
                <c:ptCount val="4"/>
                <c:pt idx="0">
                  <c:v>0</c:v>
                </c:pt>
                <c:pt idx="1">
                  <c:v>24</c:v>
                </c:pt>
                <c:pt idx="2">
                  <c:v>25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AF-4744-9FDD-2BFA23B4BE9C}"/>
            </c:ext>
          </c:extLst>
        </c:ser>
        <c:ser>
          <c:idx val="5"/>
          <c:order val="5"/>
          <c:tx>
            <c:strRef>
              <c:f>Dashboard!$Q$1</c:f>
              <c:strCache>
                <c:ptCount val="1"/>
                <c:pt idx="0">
                  <c:v>Label Switch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Dashboard!$K$2:$K$5</c:f>
              <c:strCache>
                <c:ptCount val="4"/>
                <c:pt idx="0">
                  <c:v>Mac</c:v>
                </c:pt>
                <c:pt idx="1">
                  <c:v>Charlie</c:v>
                </c:pt>
                <c:pt idx="2">
                  <c:v>Dee</c:v>
                </c:pt>
                <c:pt idx="3">
                  <c:v>Dennis</c:v>
                </c:pt>
              </c:strCache>
            </c:strRef>
          </c:cat>
          <c:val>
            <c:numRef>
              <c:f>Dashboard!$Q$2:$Q$5</c:f>
              <c:numCache>
                <c:formatCode>0</c:formatCode>
                <c:ptCount val="4"/>
                <c:pt idx="0">
                  <c:v>0</c:v>
                </c:pt>
                <c:pt idx="1">
                  <c:v>10</c:v>
                </c:pt>
                <c:pt idx="2">
                  <c:v>23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8AF-4744-9FDD-2BFA23B4B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1064383"/>
        <c:axId val="781069183"/>
      </c:barChart>
      <c:catAx>
        <c:axId val="781064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69183"/>
        <c:crosses val="autoZero"/>
        <c:auto val="1"/>
        <c:lblAlgn val="ctr"/>
        <c:lblOffset val="100"/>
        <c:noMultiLvlLbl val="0"/>
      </c:catAx>
      <c:valAx>
        <c:axId val="781069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6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6</xdr:row>
      <xdr:rowOff>161925</xdr:rowOff>
    </xdr:from>
    <xdr:to>
      <xdr:col>3</xdr:col>
      <xdr:colOff>1695449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E0151A-301F-9497-ECFB-6298865894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49530</xdr:colOff>
      <xdr:row>6</xdr:row>
      <xdr:rowOff>76200</xdr:rowOff>
    </xdr:from>
    <xdr:to>
      <xdr:col>15</xdr:col>
      <xdr:colOff>895350</xdr:colOff>
      <xdr:row>22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547E2F-8EBC-0295-B545-6D0F541753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912495</xdr:colOff>
      <xdr:row>7</xdr:row>
      <xdr:rowOff>160020</xdr:rowOff>
    </xdr:from>
    <xdr:to>
      <xdr:col>10</xdr:col>
      <xdr:colOff>66675</xdr:colOff>
      <xdr:row>25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0D92FB6-5098-DA95-30CA-167B42F193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C3CD32-3E9C-4DDF-92C9-B9473BF909C6}" name="Table1" displayName="Table1" ref="F1:G4" totalsRowShown="0" headerRowDxfId="1" dataDxfId="0">
  <autoFilter ref="F1:G4" xr:uid="{8EC3CD32-3E9C-4DDF-92C9-B9473BF909C6}"/>
  <tableColumns count="2">
    <tableColumn id="1" xr3:uid="{64454CDA-9227-4526-8BA1-5BD921127CE4}" name="Downtime Factor" dataDxfId="3"/>
    <tableColumn id="2" xr3:uid="{C6D53BF9-3667-48AB-A4ED-91D979371F76}" name="Total Minutes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631C06-511C-43B0-BADE-E9505336EAB4}" name="Table13" displayName="Table13" ref="K1:Q5" totalsRowShown="0" headerRowDxfId="12" dataDxfId="11">
  <autoFilter ref="K1:Q5" xr:uid="{83631C06-511C-43B0-BADE-E9505336EAB4}"/>
  <tableColumns count="7">
    <tableColumn id="1" xr3:uid="{1C29FD37-7A39-4CB7-B022-65F10663D72B}" name="Operator" dataDxfId="10"/>
    <tableColumn id="2" xr3:uid="{0F1A56E0-1EEC-404E-BE70-7967FCC5E96C}" name="Batch Change" dataDxfId="9"/>
    <tableColumn id="3" xr3:uid="{B3D0D164-D9FD-4873-A59F-6BE9126B9EEF}" name="Product Spill" dataDxfId="8"/>
    <tableColumn id="4" xr3:uid="{977C5F92-5248-40A3-95CE-38D140A0729D}" name="Machine Adj" dataDxfId="7"/>
    <tableColumn id="5" xr3:uid="{14A2A723-125D-4782-9C0E-CC602084DEA1}" name="Batch Code Error" dataDxfId="6"/>
    <tableColumn id="6" xr3:uid="{70D8CBAD-A533-4725-9F2A-A203F5F0036C}" name="Callibration Error" dataDxfId="5"/>
    <tableColumn id="7" xr3:uid="{1522D423-65D5-4B6B-A4E3-63461879793E}" name="Label Switch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62F3-8C54-4C2B-8E48-722D67F8C002}">
  <dimension ref="A1:F39"/>
  <sheetViews>
    <sheetView workbookViewId="0">
      <selection activeCell="L27" sqref="L27"/>
    </sheetView>
  </sheetViews>
  <sheetFormatPr defaultRowHeight="14.4" x14ac:dyDescent="0.3"/>
  <cols>
    <col min="1" max="1" width="10.44140625" bestFit="1" customWidth="1"/>
    <col min="2" max="2" width="9.5546875" bestFit="1" customWidth="1"/>
    <col min="3" max="3" width="8.88671875" customWidth="1"/>
    <col min="4" max="4" width="9.44140625" bestFit="1" customWidth="1"/>
    <col min="5" max="5" width="9.5546875" bestFit="1" customWidth="1"/>
    <col min="6" max="6" width="8.88671875" customWidth="1"/>
    <col min="7" max="7" width="8.6640625" bestFit="1" customWidth="1"/>
    <col min="8" max="11" width="8.88671875" customWidth="1"/>
    <col min="13" max="13" width="8.886718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>
        <v>45533</v>
      </c>
      <c r="B2" t="s">
        <v>24</v>
      </c>
      <c r="C2">
        <v>422111</v>
      </c>
      <c r="D2" t="s">
        <v>43</v>
      </c>
      <c r="E2" s="3">
        <v>0.49305555555555558</v>
      </c>
      <c r="F2" s="3">
        <v>0.58680555555555558</v>
      </c>
    </row>
    <row r="3" spans="1:6" x14ac:dyDescent="0.3">
      <c r="A3" s="1">
        <v>45533</v>
      </c>
      <c r="B3" t="s">
        <v>25</v>
      </c>
      <c r="C3">
        <v>422112</v>
      </c>
      <c r="D3" t="s">
        <v>43</v>
      </c>
      <c r="E3" s="3">
        <v>0.58680555555555558</v>
      </c>
      <c r="F3" s="3">
        <v>0.65625</v>
      </c>
    </row>
    <row r="4" spans="1:6" x14ac:dyDescent="0.3">
      <c r="A4" s="1">
        <v>45533</v>
      </c>
      <c r="B4" t="s">
        <v>25</v>
      </c>
      <c r="C4">
        <v>422113</v>
      </c>
      <c r="D4" t="s">
        <v>43</v>
      </c>
      <c r="E4" s="3">
        <v>0.65625</v>
      </c>
      <c r="F4" s="3">
        <v>0.73263888888888884</v>
      </c>
    </row>
    <row r="5" spans="1:6" x14ac:dyDescent="0.3">
      <c r="A5" s="1">
        <v>45533</v>
      </c>
      <c r="B5" t="s">
        <v>25</v>
      </c>
      <c r="C5">
        <v>422114</v>
      </c>
      <c r="D5" t="s">
        <v>43</v>
      </c>
      <c r="E5" s="3">
        <v>0.73263888888888884</v>
      </c>
      <c r="F5" s="3">
        <v>0.80208333333333326</v>
      </c>
    </row>
    <row r="6" spans="1:6" x14ac:dyDescent="0.3">
      <c r="A6" s="1">
        <v>45533</v>
      </c>
      <c r="B6" t="s">
        <v>25</v>
      </c>
      <c r="C6">
        <v>422115</v>
      </c>
      <c r="D6" t="s">
        <v>40</v>
      </c>
      <c r="E6" s="3">
        <v>0.80208333333333326</v>
      </c>
      <c r="F6" s="3">
        <v>0.86041666666666661</v>
      </c>
    </row>
    <row r="7" spans="1:6" x14ac:dyDescent="0.3">
      <c r="A7" s="1">
        <v>45533</v>
      </c>
      <c r="B7" t="s">
        <v>25</v>
      </c>
      <c r="C7">
        <v>422116</v>
      </c>
      <c r="D7" t="s">
        <v>40</v>
      </c>
      <c r="E7" s="3">
        <v>0.86041666666666661</v>
      </c>
      <c r="F7" s="3">
        <v>0.90208333333333324</v>
      </c>
    </row>
    <row r="8" spans="1:6" x14ac:dyDescent="0.3">
      <c r="A8" s="1">
        <v>45533</v>
      </c>
      <c r="B8" t="s">
        <v>25</v>
      </c>
      <c r="C8">
        <v>422117</v>
      </c>
      <c r="D8" t="s">
        <v>40</v>
      </c>
      <c r="E8" s="3">
        <v>0.90208333333333324</v>
      </c>
      <c r="F8" s="3">
        <v>0.95416666666666661</v>
      </c>
    </row>
    <row r="9" spans="1:6" x14ac:dyDescent="0.3">
      <c r="A9" s="1">
        <v>45534</v>
      </c>
      <c r="B9" t="s">
        <v>26</v>
      </c>
      <c r="C9">
        <v>422118</v>
      </c>
      <c r="D9" t="s">
        <v>41</v>
      </c>
      <c r="E9" s="3">
        <v>0.1701388888888889</v>
      </c>
      <c r="F9" s="3">
        <v>0.25347222222222221</v>
      </c>
    </row>
    <row r="10" spans="1:6" x14ac:dyDescent="0.3">
      <c r="A10" s="1">
        <v>45534</v>
      </c>
      <c r="B10" t="s">
        <v>26</v>
      </c>
      <c r="C10">
        <v>422119</v>
      </c>
      <c r="D10" t="s">
        <v>41</v>
      </c>
      <c r="E10" s="3">
        <v>0.25347222222222221</v>
      </c>
      <c r="F10" s="3">
        <v>0.3125</v>
      </c>
    </row>
    <row r="11" spans="1:6" x14ac:dyDescent="0.3">
      <c r="A11" s="1">
        <v>45534</v>
      </c>
      <c r="B11" t="s">
        <v>26</v>
      </c>
      <c r="C11">
        <v>422120</v>
      </c>
      <c r="D11" t="s">
        <v>41</v>
      </c>
      <c r="E11" s="3">
        <v>0.3125</v>
      </c>
      <c r="F11" s="3">
        <v>0.39027777777777778</v>
      </c>
    </row>
    <row r="12" spans="1:6" x14ac:dyDescent="0.3">
      <c r="A12" s="1">
        <v>45534</v>
      </c>
      <c r="B12" t="s">
        <v>26</v>
      </c>
      <c r="C12">
        <v>422121</v>
      </c>
      <c r="D12" t="s">
        <v>42</v>
      </c>
      <c r="E12" s="3">
        <v>0.39027777777777778</v>
      </c>
      <c r="F12" s="3">
        <v>0.44236111111111109</v>
      </c>
    </row>
    <row r="13" spans="1:6" x14ac:dyDescent="0.3">
      <c r="A13" s="1">
        <v>45534</v>
      </c>
      <c r="B13" t="s">
        <v>26</v>
      </c>
      <c r="C13">
        <v>422122</v>
      </c>
      <c r="D13" t="s">
        <v>42</v>
      </c>
      <c r="E13" s="3">
        <v>0.44236111111111109</v>
      </c>
      <c r="F13" s="3">
        <v>0.50138888888888888</v>
      </c>
    </row>
    <row r="14" spans="1:6" x14ac:dyDescent="0.3">
      <c r="A14" s="1">
        <v>45534</v>
      </c>
      <c r="B14" t="s">
        <v>26</v>
      </c>
      <c r="C14">
        <v>422123</v>
      </c>
      <c r="D14" t="s">
        <v>42</v>
      </c>
      <c r="E14" s="3">
        <v>0.50138888888888888</v>
      </c>
      <c r="F14" s="3">
        <v>0.59375</v>
      </c>
    </row>
    <row r="15" spans="1:6" x14ac:dyDescent="0.3">
      <c r="A15" s="1">
        <v>45534</v>
      </c>
      <c r="B15" t="s">
        <v>26</v>
      </c>
      <c r="C15">
        <v>422124</v>
      </c>
      <c r="D15" t="s">
        <v>42</v>
      </c>
      <c r="E15" s="3">
        <v>0.59375</v>
      </c>
      <c r="F15" s="3">
        <v>0.66319444444444442</v>
      </c>
    </row>
    <row r="16" spans="1:6" x14ac:dyDescent="0.3">
      <c r="A16" s="1">
        <v>45534</v>
      </c>
      <c r="B16" t="s">
        <v>26</v>
      </c>
      <c r="C16">
        <v>422125</v>
      </c>
      <c r="D16" t="s">
        <v>40</v>
      </c>
      <c r="E16" s="3">
        <v>0.66319444444444442</v>
      </c>
      <c r="F16" s="3">
        <v>0.71875</v>
      </c>
    </row>
    <row r="17" spans="1:6" x14ac:dyDescent="0.3">
      <c r="A17" s="1">
        <v>45534</v>
      </c>
      <c r="B17" t="s">
        <v>26</v>
      </c>
      <c r="C17">
        <v>422126</v>
      </c>
      <c r="D17" t="s">
        <v>40</v>
      </c>
      <c r="E17" s="3">
        <v>0.71875</v>
      </c>
      <c r="F17" s="3">
        <v>0.79097222222222219</v>
      </c>
    </row>
    <row r="18" spans="1:6" x14ac:dyDescent="0.3">
      <c r="A18" s="1">
        <v>45534</v>
      </c>
      <c r="B18" t="s">
        <v>26</v>
      </c>
      <c r="C18">
        <v>422127</v>
      </c>
      <c r="D18" t="s">
        <v>40</v>
      </c>
      <c r="E18" s="3">
        <v>0.79097222222222219</v>
      </c>
      <c r="F18" s="3">
        <v>0.84861111111111109</v>
      </c>
    </row>
    <row r="19" spans="1:6" x14ac:dyDescent="0.3">
      <c r="A19" s="1">
        <v>45534</v>
      </c>
      <c r="B19" t="s">
        <v>26</v>
      </c>
      <c r="C19">
        <v>422128</v>
      </c>
      <c r="D19" t="s">
        <v>40</v>
      </c>
      <c r="E19" s="3">
        <v>0.84861111111111109</v>
      </c>
      <c r="F19" s="3">
        <v>0.92638888888888893</v>
      </c>
    </row>
    <row r="20" spans="1:6" x14ac:dyDescent="0.3">
      <c r="A20" s="1">
        <v>45534</v>
      </c>
      <c r="B20" t="s">
        <v>26</v>
      </c>
      <c r="C20">
        <v>422129</v>
      </c>
      <c r="D20" t="s">
        <v>40</v>
      </c>
      <c r="E20" s="3">
        <v>0.92638888888888893</v>
      </c>
      <c r="F20" s="3">
        <v>0.97847222222222219</v>
      </c>
    </row>
    <row r="21" spans="1:6" x14ac:dyDescent="0.3">
      <c r="A21" s="1">
        <v>45535</v>
      </c>
      <c r="B21" t="s">
        <v>26</v>
      </c>
      <c r="C21">
        <v>422130</v>
      </c>
      <c r="D21" t="s">
        <v>41</v>
      </c>
      <c r="E21" s="3">
        <v>0.32291666666666669</v>
      </c>
      <c r="F21" s="3">
        <v>0.37847222222222221</v>
      </c>
    </row>
    <row r="22" spans="1:6" x14ac:dyDescent="0.3">
      <c r="A22" s="1">
        <v>45535</v>
      </c>
      <c r="B22" t="s">
        <v>26</v>
      </c>
      <c r="C22">
        <v>422131</v>
      </c>
      <c r="D22" t="s">
        <v>41</v>
      </c>
      <c r="E22" s="3">
        <v>0.37847222222222221</v>
      </c>
      <c r="F22" s="3">
        <v>0.44097222222222221</v>
      </c>
    </row>
    <row r="23" spans="1:6" x14ac:dyDescent="0.3">
      <c r="A23" s="1">
        <v>45535</v>
      </c>
      <c r="B23" t="s">
        <v>26</v>
      </c>
      <c r="C23">
        <v>422132</v>
      </c>
      <c r="D23" t="s">
        <v>41</v>
      </c>
      <c r="E23" s="3">
        <v>0.44097222222222221</v>
      </c>
      <c r="F23" s="3">
        <v>0.4826388888888889</v>
      </c>
    </row>
    <row r="24" spans="1:6" x14ac:dyDescent="0.3">
      <c r="A24" s="1">
        <v>45535</v>
      </c>
      <c r="B24" t="s">
        <v>27</v>
      </c>
      <c r="C24">
        <v>422133</v>
      </c>
      <c r="D24" t="s">
        <v>41</v>
      </c>
      <c r="E24" s="3">
        <v>0.4826388888888889</v>
      </c>
      <c r="F24" s="3">
        <v>0.53819444444444442</v>
      </c>
    </row>
    <row r="25" spans="1:6" x14ac:dyDescent="0.3">
      <c r="A25" s="1">
        <v>45535</v>
      </c>
      <c r="B25" t="s">
        <v>27</v>
      </c>
      <c r="C25">
        <v>422134</v>
      </c>
      <c r="D25" t="s">
        <v>43</v>
      </c>
      <c r="E25" s="3">
        <v>0.53819444444444442</v>
      </c>
      <c r="F25" s="3">
        <v>0.61458333333333337</v>
      </c>
    </row>
    <row r="26" spans="1:6" x14ac:dyDescent="0.3">
      <c r="A26" s="1">
        <v>45535</v>
      </c>
      <c r="B26" t="s">
        <v>27</v>
      </c>
      <c r="C26">
        <v>422135</v>
      </c>
      <c r="D26" t="s">
        <v>43</v>
      </c>
      <c r="E26" s="3">
        <v>0.61458333333333337</v>
      </c>
      <c r="F26" s="3">
        <v>0.6875</v>
      </c>
    </row>
    <row r="27" spans="1:6" x14ac:dyDescent="0.3">
      <c r="A27" s="1">
        <v>45535</v>
      </c>
      <c r="B27" t="s">
        <v>27</v>
      </c>
      <c r="C27">
        <v>422136</v>
      </c>
      <c r="D27" t="s">
        <v>43</v>
      </c>
      <c r="E27" s="3">
        <v>0.6875</v>
      </c>
      <c r="F27" s="3">
        <v>0.72916666666666663</v>
      </c>
    </row>
    <row r="28" spans="1:6" x14ac:dyDescent="0.3">
      <c r="A28" s="1">
        <v>45537</v>
      </c>
      <c r="B28" t="s">
        <v>28</v>
      </c>
      <c r="C28">
        <v>422137</v>
      </c>
      <c r="D28" t="s">
        <v>41</v>
      </c>
      <c r="E28" s="3">
        <v>4.1666666666666664E-2</v>
      </c>
      <c r="F28" s="3">
        <v>0.11458333333333333</v>
      </c>
    </row>
    <row r="29" spans="1:6" x14ac:dyDescent="0.3">
      <c r="A29" s="1">
        <v>45537</v>
      </c>
      <c r="B29" t="s">
        <v>28</v>
      </c>
      <c r="C29">
        <v>422138</v>
      </c>
      <c r="D29" t="s">
        <v>41</v>
      </c>
      <c r="E29" s="3">
        <v>0.11458333333333333</v>
      </c>
      <c r="F29" s="3">
        <v>0.1701388888888889</v>
      </c>
    </row>
    <row r="30" spans="1:6" x14ac:dyDescent="0.3">
      <c r="A30" s="1">
        <v>45537</v>
      </c>
      <c r="B30" t="s">
        <v>28</v>
      </c>
      <c r="C30">
        <v>422139</v>
      </c>
      <c r="D30" t="s">
        <v>41</v>
      </c>
      <c r="E30" s="3">
        <v>0.1701388888888889</v>
      </c>
      <c r="F30" s="3">
        <v>0.2361111111111111</v>
      </c>
    </row>
    <row r="31" spans="1:6" x14ac:dyDescent="0.3">
      <c r="A31" s="1">
        <v>45537</v>
      </c>
      <c r="B31" t="s">
        <v>28</v>
      </c>
      <c r="C31">
        <v>422140</v>
      </c>
      <c r="D31" t="s">
        <v>41</v>
      </c>
      <c r="E31" s="3">
        <v>0.2361111111111111</v>
      </c>
      <c r="F31" s="3">
        <v>0.3215277777777778</v>
      </c>
    </row>
    <row r="32" spans="1:6" x14ac:dyDescent="0.3">
      <c r="A32" s="1">
        <v>45537</v>
      </c>
      <c r="B32" t="s">
        <v>28</v>
      </c>
      <c r="C32">
        <v>422141</v>
      </c>
      <c r="D32" t="s">
        <v>42</v>
      </c>
      <c r="E32" s="3">
        <v>0.3215277777777778</v>
      </c>
      <c r="F32" s="3">
        <v>0.36805555555555558</v>
      </c>
    </row>
    <row r="33" spans="1:6" x14ac:dyDescent="0.3">
      <c r="A33" s="1">
        <v>45537</v>
      </c>
      <c r="B33" t="s">
        <v>28</v>
      </c>
      <c r="C33">
        <v>422142</v>
      </c>
      <c r="D33" t="s">
        <v>42</v>
      </c>
      <c r="E33" s="3">
        <v>0.36805555555555558</v>
      </c>
      <c r="F33" s="3">
        <v>0.43055555555555558</v>
      </c>
    </row>
    <row r="34" spans="1:6" x14ac:dyDescent="0.3">
      <c r="A34" s="1">
        <v>45537</v>
      </c>
      <c r="B34" t="s">
        <v>28</v>
      </c>
      <c r="C34">
        <v>422143</v>
      </c>
      <c r="D34" t="s">
        <v>42</v>
      </c>
      <c r="E34" s="3">
        <v>0.43055555555555558</v>
      </c>
      <c r="F34" s="3">
        <v>0.51249999999999996</v>
      </c>
    </row>
    <row r="35" spans="1:6" x14ac:dyDescent="0.3">
      <c r="A35" s="1">
        <v>45537</v>
      </c>
      <c r="B35" t="s">
        <v>29</v>
      </c>
      <c r="C35">
        <v>422144</v>
      </c>
      <c r="D35" t="s">
        <v>42</v>
      </c>
      <c r="E35" s="3">
        <v>0.51249999999999996</v>
      </c>
      <c r="F35" s="3">
        <v>0.61805555555555558</v>
      </c>
    </row>
    <row r="36" spans="1:6" x14ac:dyDescent="0.3">
      <c r="A36" s="1">
        <v>45537</v>
      </c>
      <c r="B36" t="s">
        <v>29</v>
      </c>
      <c r="C36">
        <v>422145</v>
      </c>
      <c r="D36" t="s">
        <v>40</v>
      </c>
      <c r="E36" s="3">
        <v>0.61805555555555558</v>
      </c>
      <c r="F36" s="3">
        <v>0.70138888888888895</v>
      </c>
    </row>
    <row r="37" spans="1:6" x14ac:dyDescent="0.3">
      <c r="A37" s="1">
        <v>45537</v>
      </c>
      <c r="B37" t="s">
        <v>29</v>
      </c>
      <c r="C37">
        <v>422146</v>
      </c>
      <c r="D37" t="s">
        <v>40</v>
      </c>
      <c r="E37" s="3">
        <v>0.70138888888888895</v>
      </c>
      <c r="F37" s="3">
        <v>0.8125</v>
      </c>
    </row>
    <row r="38" spans="1:6" x14ac:dyDescent="0.3">
      <c r="A38" s="1">
        <v>45537</v>
      </c>
      <c r="B38" t="s">
        <v>29</v>
      </c>
      <c r="C38">
        <v>422147</v>
      </c>
      <c r="D38" t="s">
        <v>40</v>
      </c>
      <c r="E38" s="3">
        <v>0.8125</v>
      </c>
      <c r="F38" s="3">
        <v>0.95486111111111116</v>
      </c>
    </row>
    <row r="39" spans="1:6" x14ac:dyDescent="0.3">
      <c r="A39" s="1">
        <v>45538</v>
      </c>
      <c r="B39" t="s">
        <v>29</v>
      </c>
      <c r="C39">
        <v>422148</v>
      </c>
      <c r="D39" t="s">
        <v>43</v>
      </c>
      <c r="E39" s="3">
        <v>0.95486111111111116</v>
      </c>
      <c r="F39" s="3">
        <v>1.0451388888888888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7A9A-369F-46C5-93C5-09FBB32FF7C0}">
  <dimension ref="A1:D7"/>
  <sheetViews>
    <sheetView workbookViewId="0">
      <selection activeCell="A2" sqref="A2:D7"/>
    </sheetView>
  </sheetViews>
  <sheetFormatPr defaultRowHeight="14.4" x14ac:dyDescent="0.3"/>
  <cols>
    <col min="2" max="2" width="11.109375" bestFit="1" customWidth="1"/>
    <col min="4" max="4" width="14.44140625" bestFit="1" customWidth="1"/>
  </cols>
  <sheetData>
    <row r="1" spans="1:4" x14ac:dyDescent="0.3">
      <c r="A1" s="2" t="s">
        <v>1</v>
      </c>
      <c r="B1" s="2" t="s">
        <v>30</v>
      </c>
      <c r="C1" s="2" t="s">
        <v>31</v>
      </c>
      <c r="D1" s="2" t="s">
        <v>39</v>
      </c>
    </row>
    <row r="2" spans="1:4" x14ac:dyDescent="0.3">
      <c r="A2" t="s">
        <v>24</v>
      </c>
      <c r="B2" t="s">
        <v>32</v>
      </c>
      <c r="C2" t="s">
        <v>38</v>
      </c>
      <c r="D2">
        <v>60</v>
      </c>
    </row>
    <row r="3" spans="1:4" x14ac:dyDescent="0.3">
      <c r="A3" t="s">
        <v>25</v>
      </c>
      <c r="B3" t="s">
        <v>33</v>
      </c>
      <c r="C3" t="s">
        <v>38</v>
      </c>
      <c r="D3">
        <v>60</v>
      </c>
    </row>
    <row r="4" spans="1:4" x14ac:dyDescent="0.3">
      <c r="A4" t="s">
        <v>26</v>
      </c>
      <c r="B4" t="s">
        <v>34</v>
      </c>
      <c r="C4" t="s">
        <v>38</v>
      </c>
      <c r="D4">
        <v>60</v>
      </c>
    </row>
    <row r="5" spans="1:4" x14ac:dyDescent="0.3">
      <c r="A5" t="s">
        <v>27</v>
      </c>
      <c r="B5" t="s">
        <v>35</v>
      </c>
      <c r="C5" t="s">
        <v>38</v>
      </c>
      <c r="D5">
        <v>60</v>
      </c>
    </row>
    <row r="6" spans="1:4" x14ac:dyDescent="0.3">
      <c r="A6" t="s">
        <v>28</v>
      </c>
      <c r="B6" t="s">
        <v>36</v>
      </c>
      <c r="C6" t="s">
        <v>38</v>
      </c>
      <c r="D6">
        <v>60</v>
      </c>
    </row>
    <row r="7" spans="1:4" x14ac:dyDescent="0.3">
      <c r="A7" t="s">
        <v>29</v>
      </c>
      <c r="B7" t="s">
        <v>34</v>
      </c>
      <c r="C7" t="s">
        <v>37</v>
      </c>
      <c r="D7">
        <v>98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156D-DBB5-4EA9-A733-8897AD1035D5}">
  <dimension ref="A1:C13"/>
  <sheetViews>
    <sheetView workbookViewId="0">
      <selection activeCell="F21" sqref="F21"/>
    </sheetView>
  </sheetViews>
  <sheetFormatPr defaultRowHeight="14.4" x14ac:dyDescent="0.3"/>
  <cols>
    <col min="1" max="1" width="8.88671875" customWidth="1"/>
    <col min="2" max="2" width="19.33203125" bestFit="1" customWidth="1"/>
    <col min="3" max="3" width="14" bestFit="1" customWidth="1"/>
  </cols>
  <sheetData>
    <row r="1" spans="1:3" x14ac:dyDescent="0.3">
      <c r="A1" s="2" t="s">
        <v>6</v>
      </c>
      <c r="B1" s="2" t="s">
        <v>22</v>
      </c>
      <c r="C1" s="2" t="s">
        <v>7</v>
      </c>
    </row>
    <row r="2" spans="1:3" x14ac:dyDescent="0.3">
      <c r="A2">
        <v>1</v>
      </c>
      <c r="B2" t="s">
        <v>17</v>
      </c>
      <c r="C2" t="s">
        <v>20</v>
      </c>
    </row>
    <row r="3" spans="1:3" x14ac:dyDescent="0.3">
      <c r="A3">
        <v>2</v>
      </c>
      <c r="B3" t="s">
        <v>8</v>
      </c>
      <c r="C3" t="s">
        <v>21</v>
      </c>
    </row>
    <row r="4" spans="1:3" x14ac:dyDescent="0.3">
      <c r="A4">
        <v>3</v>
      </c>
      <c r="B4" t="s">
        <v>19</v>
      </c>
      <c r="C4" t="s">
        <v>20</v>
      </c>
    </row>
    <row r="5" spans="1:3" x14ac:dyDescent="0.3">
      <c r="A5">
        <v>4</v>
      </c>
      <c r="B5" t="s">
        <v>14</v>
      </c>
      <c r="C5" t="s">
        <v>20</v>
      </c>
    </row>
    <row r="6" spans="1:3" x14ac:dyDescent="0.3">
      <c r="A6">
        <v>5</v>
      </c>
      <c r="B6" t="s">
        <v>10</v>
      </c>
      <c r="C6" t="s">
        <v>21</v>
      </c>
    </row>
    <row r="7" spans="1:3" x14ac:dyDescent="0.3">
      <c r="A7">
        <v>6</v>
      </c>
      <c r="B7" t="s">
        <v>9</v>
      </c>
      <c r="C7" t="s">
        <v>21</v>
      </c>
    </row>
    <row r="8" spans="1:3" x14ac:dyDescent="0.3">
      <c r="A8">
        <v>7</v>
      </c>
      <c r="B8" t="s">
        <v>12</v>
      </c>
      <c r="C8" t="s">
        <v>20</v>
      </c>
    </row>
    <row r="9" spans="1:3" x14ac:dyDescent="0.3">
      <c r="A9">
        <v>8</v>
      </c>
      <c r="B9" t="s">
        <v>13</v>
      </c>
      <c r="C9" t="s">
        <v>21</v>
      </c>
    </row>
    <row r="10" spans="1:3" x14ac:dyDescent="0.3">
      <c r="A10">
        <v>9</v>
      </c>
      <c r="B10" t="s">
        <v>15</v>
      </c>
      <c r="C10" t="s">
        <v>20</v>
      </c>
    </row>
    <row r="11" spans="1:3" x14ac:dyDescent="0.3">
      <c r="A11">
        <v>10</v>
      </c>
      <c r="B11" t="s">
        <v>18</v>
      </c>
      <c r="C11" t="s">
        <v>21</v>
      </c>
    </row>
    <row r="12" spans="1:3" x14ac:dyDescent="0.3">
      <c r="A12">
        <v>11</v>
      </c>
      <c r="B12" t="s">
        <v>11</v>
      </c>
      <c r="C12" t="s">
        <v>21</v>
      </c>
    </row>
    <row r="13" spans="1:3" x14ac:dyDescent="0.3">
      <c r="A13">
        <v>12</v>
      </c>
      <c r="B13" t="s">
        <v>16</v>
      </c>
      <c r="C13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3E6B-C648-491E-9E5D-F67501FDD632}">
  <dimension ref="A1:M41"/>
  <sheetViews>
    <sheetView topLeftCell="A13" workbookViewId="0">
      <selection activeCell="X45" sqref="X45"/>
    </sheetView>
  </sheetViews>
  <sheetFormatPr defaultRowHeight="14.4" x14ac:dyDescent="0.3"/>
  <cols>
    <col min="1" max="1" width="8.88671875" customWidth="1"/>
    <col min="2" max="13" width="5.5546875" customWidth="1"/>
  </cols>
  <sheetData>
    <row r="1" spans="1:13" x14ac:dyDescent="0.3">
      <c r="B1" s="4" t="s">
        <v>23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3">
      <c r="A2" s="2" t="s">
        <v>2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</row>
    <row r="3" spans="1:13" x14ac:dyDescent="0.3">
      <c r="A3">
        <v>422111</v>
      </c>
      <c r="C3">
        <v>60</v>
      </c>
      <c r="H3">
        <v>15</v>
      </c>
    </row>
    <row r="4" spans="1:13" x14ac:dyDescent="0.3">
      <c r="A4">
        <v>422112</v>
      </c>
      <c r="C4">
        <v>20</v>
      </c>
      <c r="I4">
        <v>20</v>
      </c>
    </row>
    <row r="5" spans="1:13" x14ac:dyDescent="0.3">
      <c r="A5">
        <v>422113</v>
      </c>
      <c r="C5">
        <v>50</v>
      </c>
    </row>
    <row r="6" spans="1:13" x14ac:dyDescent="0.3">
      <c r="A6">
        <v>422114</v>
      </c>
      <c r="E6">
        <v>25</v>
      </c>
      <c r="G6">
        <v>15</v>
      </c>
    </row>
    <row r="7" spans="1:13" x14ac:dyDescent="0.3">
      <c r="A7">
        <v>422115</v>
      </c>
      <c r="K7">
        <v>24</v>
      </c>
    </row>
    <row r="8" spans="1:13" x14ac:dyDescent="0.3">
      <c r="A8">
        <v>422116</v>
      </c>
    </row>
    <row r="9" spans="1:13" x14ac:dyDescent="0.3">
      <c r="A9">
        <v>422117</v>
      </c>
      <c r="C9">
        <v>10</v>
      </c>
      <c r="G9">
        <v>5</v>
      </c>
    </row>
    <row r="10" spans="1:13" x14ac:dyDescent="0.3">
      <c r="A10">
        <v>422118</v>
      </c>
      <c r="G10">
        <v>14</v>
      </c>
      <c r="H10">
        <v>16</v>
      </c>
      <c r="L10">
        <v>10</v>
      </c>
      <c r="M10">
        <v>20</v>
      </c>
    </row>
    <row r="11" spans="1:13" x14ac:dyDescent="0.3">
      <c r="A11">
        <v>422119</v>
      </c>
      <c r="E11">
        <v>25</v>
      </c>
    </row>
    <row r="12" spans="1:13" x14ac:dyDescent="0.3">
      <c r="A12">
        <v>422120</v>
      </c>
      <c r="E12">
        <v>20</v>
      </c>
      <c r="F12">
        <v>15</v>
      </c>
      <c r="J12">
        <v>17</v>
      </c>
    </row>
    <row r="13" spans="1:13" x14ac:dyDescent="0.3">
      <c r="A13">
        <v>422121</v>
      </c>
      <c r="H13">
        <v>15</v>
      </c>
    </row>
    <row r="14" spans="1:13" x14ac:dyDescent="0.3">
      <c r="A14">
        <v>422122</v>
      </c>
      <c r="H14">
        <v>25</v>
      </c>
    </row>
    <row r="15" spans="1:13" x14ac:dyDescent="0.3">
      <c r="A15">
        <v>422123</v>
      </c>
      <c r="E15">
        <v>43</v>
      </c>
      <c r="H15">
        <v>30</v>
      </c>
    </row>
    <row r="16" spans="1:13" x14ac:dyDescent="0.3">
      <c r="A16">
        <v>422124</v>
      </c>
      <c r="F16">
        <v>20</v>
      </c>
      <c r="G16">
        <v>20</v>
      </c>
    </row>
    <row r="17" spans="1:13" x14ac:dyDescent="0.3">
      <c r="A17">
        <v>422125</v>
      </c>
      <c r="L17">
        <v>10</v>
      </c>
      <c r="M17">
        <v>10</v>
      </c>
    </row>
    <row r="18" spans="1:13" x14ac:dyDescent="0.3">
      <c r="A18">
        <v>422126</v>
      </c>
      <c r="I18">
        <v>44</v>
      </c>
    </row>
    <row r="19" spans="1:13" x14ac:dyDescent="0.3">
      <c r="A19">
        <v>422127</v>
      </c>
      <c r="G19">
        <v>23</v>
      </c>
    </row>
    <row r="20" spans="1:13" x14ac:dyDescent="0.3">
      <c r="A20">
        <v>422128</v>
      </c>
      <c r="F20">
        <v>22</v>
      </c>
      <c r="H20">
        <v>30</v>
      </c>
    </row>
    <row r="21" spans="1:13" x14ac:dyDescent="0.3">
      <c r="A21">
        <v>422129</v>
      </c>
      <c r="M21">
        <v>15</v>
      </c>
    </row>
    <row r="22" spans="1:13" x14ac:dyDescent="0.3">
      <c r="A22">
        <v>422130</v>
      </c>
      <c r="C22">
        <v>20</v>
      </c>
    </row>
    <row r="23" spans="1:13" x14ac:dyDescent="0.3">
      <c r="A23">
        <v>422131</v>
      </c>
      <c r="E23">
        <v>20</v>
      </c>
      <c r="K23">
        <v>10</v>
      </c>
    </row>
    <row r="24" spans="1:13" x14ac:dyDescent="0.3">
      <c r="A24">
        <v>422132</v>
      </c>
    </row>
    <row r="25" spans="1:13" x14ac:dyDescent="0.3">
      <c r="A25">
        <v>422133</v>
      </c>
      <c r="H25">
        <v>20</v>
      </c>
    </row>
    <row r="26" spans="1:13" x14ac:dyDescent="0.3">
      <c r="A26">
        <v>422134</v>
      </c>
      <c r="H26">
        <v>30</v>
      </c>
      <c r="I26">
        <v>20</v>
      </c>
    </row>
    <row r="27" spans="1:13" x14ac:dyDescent="0.3">
      <c r="A27">
        <v>422135</v>
      </c>
      <c r="E27">
        <v>30</v>
      </c>
      <c r="M27">
        <v>15</v>
      </c>
    </row>
    <row r="28" spans="1:13" x14ac:dyDescent="0.3">
      <c r="A28">
        <v>422136</v>
      </c>
    </row>
    <row r="29" spans="1:13" x14ac:dyDescent="0.3">
      <c r="A29">
        <v>422137</v>
      </c>
      <c r="I29">
        <v>30</v>
      </c>
      <c r="K29">
        <v>15</v>
      </c>
    </row>
    <row r="30" spans="1:13" x14ac:dyDescent="0.3">
      <c r="A30">
        <v>422138</v>
      </c>
      <c r="D30">
        <v>20</v>
      </c>
    </row>
    <row r="31" spans="1:13" x14ac:dyDescent="0.3">
      <c r="A31">
        <v>422139</v>
      </c>
      <c r="E31">
        <v>20</v>
      </c>
      <c r="G31">
        <v>15</v>
      </c>
    </row>
    <row r="32" spans="1:13" x14ac:dyDescent="0.3">
      <c r="A32">
        <v>422140</v>
      </c>
      <c r="G32">
        <v>50</v>
      </c>
      <c r="L32">
        <v>13</v>
      </c>
    </row>
    <row r="33" spans="1:13" x14ac:dyDescent="0.3">
      <c r="A33">
        <v>422141</v>
      </c>
      <c r="M33">
        <v>7</v>
      </c>
    </row>
    <row r="34" spans="1:13" x14ac:dyDescent="0.3">
      <c r="A34">
        <v>422142</v>
      </c>
      <c r="G34">
        <v>30</v>
      </c>
    </row>
    <row r="35" spans="1:13" x14ac:dyDescent="0.3">
      <c r="A35">
        <v>422143</v>
      </c>
      <c r="G35">
        <v>40</v>
      </c>
      <c r="H35">
        <v>18</v>
      </c>
    </row>
    <row r="36" spans="1:13" x14ac:dyDescent="0.3">
      <c r="A36">
        <v>422144</v>
      </c>
      <c r="G36">
        <v>30</v>
      </c>
      <c r="I36">
        <v>24</v>
      </c>
    </row>
    <row r="37" spans="1:13" x14ac:dyDescent="0.3">
      <c r="A37">
        <v>422145</v>
      </c>
      <c r="D37">
        <v>22</v>
      </c>
    </row>
    <row r="38" spans="1:13" x14ac:dyDescent="0.3">
      <c r="A38">
        <v>422146</v>
      </c>
      <c r="G38">
        <v>30</v>
      </c>
      <c r="H38">
        <v>25</v>
      </c>
      <c r="M38">
        <v>7</v>
      </c>
    </row>
    <row r="39" spans="1:13" x14ac:dyDescent="0.3">
      <c r="A39">
        <v>422147</v>
      </c>
      <c r="E39">
        <v>17</v>
      </c>
      <c r="G39">
        <v>60</v>
      </c>
      <c r="H39">
        <v>30</v>
      </c>
    </row>
    <row r="40" spans="1:13" x14ac:dyDescent="0.3">
      <c r="A40">
        <v>422148</v>
      </c>
      <c r="E40">
        <v>25</v>
      </c>
      <c r="I40">
        <v>7</v>
      </c>
    </row>
    <row r="41" spans="1:13" x14ac:dyDescent="0.3">
      <c r="A41" t="s">
        <v>51</v>
      </c>
      <c r="B41">
        <f>SUM(B2:B40)</f>
        <v>1</v>
      </c>
      <c r="C41">
        <f t="shared" ref="C41:M41" si="0">SUM(C2:C40)</f>
        <v>162</v>
      </c>
      <c r="D41">
        <f t="shared" si="0"/>
        <v>45</v>
      </c>
      <c r="E41">
        <f t="shared" si="0"/>
        <v>229</v>
      </c>
      <c r="F41">
        <f t="shared" si="0"/>
        <v>62</v>
      </c>
      <c r="G41">
        <f t="shared" si="0"/>
        <v>338</v>
      </c>
      <c r="H41">
        <f t="shared" si="0"/>
        <v>261</v>
      </c>
      <c r="I41">
        <f t="shared" si="0"/>
        <v>153</v>
      </c>
      <c r="J41">
        <f t="shared" si="0"/>
        <v>26</v>
      </c>
      <c r="K41">
        <f t="shared" si="0"/>
        <v>59</v>
      </c>
      <c r="L41">
        <f t="shared" si="0"/>
        <v>44</v>
      </c>
      <c r="M41">
        <f t="shared" si="0"/>
        <v>86</v>
      </c>
    </row>
  </sheetData>
  <mergeCells count="1">
    <mergeCell ref="B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9C3FA-D4C0-446D-91B9-F0432193472B}">
  <dimension ref="A1:Q46"/>
  <sheetViews>
    <sheetView topLeftCell="A19" workbookViewId="0">
      <selection activeCell="K52" sqref="K52"/>
    </sheetView>
  </sheetViews>
  <sheetFormatPr defaultRowHeight="14.4" x14ac:dyDescent="0.3"/>
  <cols>
    <col min="1" max="1" width="11.88671875" customWidth="1"/>
    <col min="2" max="2" width="16.77734375" customWidth="1"/>
    <col min="3" max="3" width="17.33203125" customWidth="1"/>
    <col min="4" max="5" width="13" customWidth="1"/>
    <col min="6" max="6" width="11.6640625" customWidth="1"/>
    <col min="7" max="7" width="14.33203125" style="6" customWidth="1"/>
    <col min="8" max="8" width="20" customWidth="1"/>
    <col min="9" max="9" width="12.109375" style="8" customWidth="1"/>
    <col min="10" max="10" width="20" style="6" customWidth="1"/>
    <col min="11" max="11" width="25.77734375" customWidth="1"/>
    <col min="12" max="12" width="16.21875" customWidth="1"/>
    <col min="13" max="14" width="15.109375" customWidth="1"/>
    <col min="15" max="15" width="18.77734375" customWidth="1"/>
    <col min="16" max="16" width="19.77734375" customWidth="1"/>
    <col min="17" max="17" width="17.5546875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 t="s">
        <v>44</v>
      </c>
      <c r="H1" s="5" t="s">
        <v>45</v>
      </c>
      <c r="I1" s="7" t="s">
        <v>46</v>
      </c>
      <c r="J1" s="5" t="s">
        <v>47</v>
      </c>
      <c r="K1" s="5" t="s">
        <v>48</v>
      </c>
      <c r="L1" s="5" t="s">
        <v>52</v>
      </c>
      <c r="M1" s="5" t="s">
        <v>53</v>
      </c>
      <c r="N1" s="5" t="s">
        <v>54</v>
      </c>
      <c r="O1" s="5" t="s">
        <v>55</v>
      </c>
      <c r="P1" s="5" t="s">
        <v>56</v>
      </c>
      <c r="Q1" s="5" t="s">
        <v>57</v>
      </c>
    </row>
    <row r="2" spans="1:17" x14ac:dyDescent="0.3">
      <c r="A2" s="1">
        <v>45533</v>
      </c>
      <c r="B2" t="s">
        <v>24</v>
      </c>
      <c r="C2">
        <v>422111</v>
      </c>
      <c r="D2" t="s">
        <v>43</v>
      </c>
      <c r="E2" s="3">
        <v>0.49305555555555558</v>
      </c>
      <c r="F2" s="3">
        <v>0.58680555555555558</v>
      </c>
      <c r="G2" s="6">
        <f>HOUR(F2-E2)*60+MINUTE(F2-E2)</f>
        <v>135</v>
      </c>
      <c r="H2">
        <f>VLOOKUP(B2,Products!A:D,4,FALSE)</f>
        <v>60</v>
      </c>
      <c r="I2" s="8">
        <f>H2/G2</f>
        <v>0.44444444444444442</v>
      </c>
      <c r="J2" s="6">
        <f>IFERROR(VLOOKUP(C2,'Line downtime'!A:M,2,FALSE),0)+IFERROR(VLOOKUP(C2,'Line downtime'!A:M,3,FALSE),0)+IFERROR(VLOOKUP(C2,'Line downtime'!A:M,4,FALSE),0)+IFERROR(VLOOKUP(C2,'Line downtime'!A:M,5,FALSE),0)+IFERROR(VLOOKUP(C2,'Line downtime'!A:M,6,FALSE),0)+IFERROR(VLOOKUP(C2,'Line downtime'!A:M,7,FALSE),0)+IFERROR(VLOOKUP(C2,'Line downtime'!A:M,8,FALSE),0)+IFERROR(VLOOKUP(C2,'Line downtime'!A:M,9,FALSE),0)+IFERROR(VLOOKUP(C2,'Line downtime'!A:M,10,FALSE),0)+IFERROR(VLOOKUP(C2,'Line downtime'!A:M,11,FALSE),0)+IFERROR(VLOOKUP(C2,'Line downtime'!A:M,12,FALSE),0)+IFERROR(VLOOKUP(C2,'Line downtime'!A:M,13,FALSE),0)</f>
        <v>75</v>
      </c>
      <c r="K2">
        <f>H2/(G2-J2)</f>
        <v>1</v>
      </c>
      <c r="L2">
        <f>IFERROR(VLOOKUP($C2,'Line downtime'!$A:$M,3,FALSE),0)</f>
        <v>60</v>
      </c>
      <c r="M2">
        <f>IFERROR(VLOOKUP($C2,'Line downtime'!$A:$M,6,FALSE),0)</f>
        <v>0</v>
      </c>
      <c r="N2">
        <f>IFERROR(VLOOKUP($C2,'Line downtime'!$A:$M,7,FALSE),0)</f>
        <v>0</v>
      </c>
      <c r="O2">
        <f>IFERROR(VLOOKUP($C2,'Line downtime'!$A:$M,9,FALSE),0)</f>
        <v>0</v>
      </c>
      <c r="P2">
        <f>IFERROR(VLOOKUP($C2,'Line downtime'!$A:$M,11,FALSE),0)</f>
        <v>0</v>
      </c>
      <c r="Q2">
        <f>IFERROR(VLOOKUP($C2,'Line downtime'!$A:$M,12,FALSE),0)</f>
        <v>0</v>
      </c>
    </row>
    <row r="3" spans="1:17" x14ac:dyDescent="0.3">
      <c r="A3" s="1">
        <v>45533</v>
      </c>
      <c r="B3" t="s">
        <v>25</v>
      </c>
      <c r="C3">
        <v>422112</v>
      </c>
      <c r="D3" t="s">
        <v>43</v>
      </c>
      <c r="E3" s="3">
        <v>0.58680555555555558</v>
      </c>
      <c r="F3" s="3">
        <v>0.65625</v>
      </c>
      <c r="G3" s="6">
        <f t="shared" ref="G3:G39" si="0">HOUR(F3-E3)*60+MINUTE(F3-E3)</f>
        <v>100</v>
      </c>
      <c r="H3">
        <f>VLOOKUP(B3,Products!A:D,4,FALSE)</f>
        <v>60</v>
      </c>
      <c r="I3" s="8">
        <f t="shared" ref="I3:I39" si="1">H3/G3</f>
        <v>0.6</v>
      </c>
      <c r="J3" s="6">
        <f>IFERROR(VLOOKUP(C3,'Line downtime'!A:M,2,FALSE),0)+IFERROR(VLOOKUP(C3,'Line downtime'!A:M,3,FALSE),0)+IFERROR(VLOOKUP(C3,'Line downtime'!A:M,4,FALSE),0)+IFERROR(VLOOKUP(C3,'Line downtime'!A:M,5,FALSE),0)+IFERROR(VLOOKUP(C3,'Line downtime'!A:M,6,FALSE),0)+IFERROR(VLOOKUP(C3,'Line downtime'!A:M,7,FALSE),0)+IFERROR(VLOOKUP(C3,'Line downtime'!A:M,8,FALSE),0)+IFERROR(VLOOKUP(C3,'Line downtime'!A:M,9,FALSE),0)+IFERROR(VLOOKUP(C3,'Line downtime'!A:M,10,FALSE),0)+IFERROR(VLOOKUP(C3,'Line downtime'!A:M,11,FALSE),0)+IFERROR(VLOOKUP(C3,'Line downtime'!A:M,12,FALSE),0)+IFERROR(VLOOKUP(C3,'Line downtime'!A:M,13,FALSE),0)</f>
        <v>40</v>
      </c>
      <c r="K3">
        <f t="shared" ref="K3:K39" si="2">H3/(G3-J3)</f>
        <v>1</v>
      </c>
      <c r="L3">
        <f>IFERROR(VLOOKUP($C3,'Line downtime'!$A:$M,3,FALSE),0)</f>
        <v>20</v>
      </c>
      <c r="M3">
        <f>IFERROR(VLOOKUP($C3,'Line downtime'!$A:$M,6,FALSE),0)</f>
        <v>0</v>
      </c>
      <c r="N3">
        <f>IFERROR(VLOOKUP($C3,'Line downtime'!$A:$M,7,FALSE),0)</f>
        <v>0</v>
      </c>
      <c r="O3">
        <f>IFERROR(VLOOKUP($C3,'Line downtime'!$A:$M,9,FALSE),0)</f>
        <v>20</v>
      </c>
      <c r="P3">
        <f>IFERROR(VLOOKUP($C3,'Line downtime'!$A:$M,11,FALSE),0)</f>
        <v>0</v>
      </c>
      <c r="Q3">
        <f>IFERROR(VLOOKUP($C3,'Line downtime'!$A:$M,12,FALSE),0)</f>
        <v>0</v>
      </c>
    </row>
    <row r="4" spans="1:17" x14ac:dyDescent="0.3">
      <c r="A4" s="1">
        <v>45533</v>
      </c>
      <c r="B4" t="s">
        <v>25</v>
      </c>
      <c r="C4">
        <v>422113</v>
      </c>
      <c r="D4" t="s">
        <v>43</v>
      </c>
      <c r="E4" s="3">
        <v>0.65625</v>
      </c>
      <c r="F4" s="3">
        <v>0.73263888888888884</v>
      </c>
      <c r="G4" s="6">
        <f t="shared" si="0"/>
        <v>110</v>
      </c>
      <c r="H4">
        <f>VLOOKUP(B4,Products!A:D,4,FALSE)</f>
        <v>60</v>
      </c>
      <c r="I4" s="8">
        <f t="shared" si="1"/>
        <v>0.54545454545454541</v>
      </c>
      <c r="J4" s="6">
        <f>IFERROR(VLOOKUP(C4,'Line downtime'!A:M,2,FALSE),0)+IFERROR(VLOOKUP(C4,'Line downtime'!A:M,3,FALSE),0)+IFERROR(VLOOKUP(C4,'Line downtime'!A:M,4,FALSE),0)+IFERROR(VLOOKUP(C4,'Line downtime'!A:M,5,FALSE),0)+IFERROR(VLOOKUP(C4,'Line downtime'!A:M,6,FALSE),0)+IFERROR(VLOOKUP(C4,'Line downtime'!A:M,7,FALSE),0)+IFERROR(VLOOKUP(C4,'Line downtime'!A:M,8,FALSE),0)+IFERROR(VLOOKUP(C4,'Line downtime'!A:M,9,FALSE),0)+IFERROR(VLOOKUP(C4,'Line downtime'!A:M,10,FALSE),0)+IFERROR(VLOOKUP(C4,'Line downtime'!A:M,11,FALSE),0)+IFERROR(VLOOKUP(C4,'Line downtime'!A:M,12,FALSE),0)+IFERROR(VLOOKUP(C4,'Line downtime'!A:M,13,FALSE),0)</f>
        <v>50</v>
      </c>
      <c r="K4">
        <f t="shared" si="2"/>
        <v>1</v>
      </c>
      <c r="L4">
        <f>IFERROR(VLOOKUP($C4,'Line downtime'!$A:$M,3,FALSE),0)</f>
        <v>50</v>
      </c>
      <c r="M4">
        <f>IFERROR(VLOOKUP($C4,'Line downtime'!$A:$M,6,FALSE),0)</f>
        <v>0</v>
      </c>
      <c r="N4">
        <f>IFERROR(VLOOKUP($C4,'Line downtime'!$A:$M,7,FALSE),0)</f>
        <v>0</v>
      </c>
      <c r="O4">
        <f>IFERROR(VLOOKUP($C4,'Line downtime'!$A:$M,9,FALSE),0)</f>
        <v>0</v>
      </c>
      <c r="P4">
        <f>IFERROR(VLOOKUP($C4,'Line downtime'!$A:$M,11,FALSE),0)</f>
        <v>0</v>
      </c>
      <c r="Q4">
        <f>IFERROR(VLOOKUP($C4,'Line downtime'!$A:$M,12,FALSE),0)</f>
        <v>0</v>
      </c>
    </row>
    <row r="5" spans="1:17" x14ac:dyDescent="0.3">
      <c r="A5" s="1">
        <v>45533</v>
      </c>
      <c r="B5" t="s">
        <v>25</v>
      </c>
      <c r="C5">
        <v>422114</v>
      </c>
      <c r="D5" t="s">
        <v>43</v>
      </c>
      <c r="E5" s="3">
        <v>0.73263888888888884</v>
      </c>
      <c r="F5" s="3">
        <v>0.80208333333333326</v>
      </c>
      <c r="G5" s="6">
        <f t="shared" si="0"/>
        <v>100</v>
      </c>
      <c r="H5">
        <f>VLOOKUP(B5,Products!A:D,4,FALSE)</f>
        <v>60</v>
      </c>
      <c r="I5" s="8">
        <f t="shared" si="1"/>
        <v>0.6</v>
      </c>
      <c r="J5" s="6">
        <f>IFERROR(VLOOKUP(C5,'Line downtime'!A:M,2,FALSE),0)+IFERROR(VLOOKUP(C5,'Line downtime'!A:M,3,FALSE),0)+IFERROR(VLOOKUP(C5,'Line downtime'!A:M,4,FALSE),0)+IFERROR(VLOOKUP(C5,'Line downtime'!A:M,5,FALSE),0)+IFERROR(VLOOKUP(C5,'Line downtime'!A:M,6,FALSE),0)+IFERROR(VLOOKUP(C5,'Line downtime'!A:M,7,FALSE),0)+IFERROR(VLOOKUP(C5,'Line downtime'!A:M,8,FALSE),0)+IFERROR(VLOOKUP(C5,'Line downtime'!A:M,9,FALSE),0)+IFERROR(VLOOKUP(C5,'Line downtime'!A:M,10,FALSE),0)+IFERROR(VLOOKUP(C5,'Line downtime'!A:M,11,FALSE),0)+IFERROR(VLOOKUP(C5,'Line downtime'!A:M,12,FALSE),0)+IFERROR(VLOOKUP(C5,'Line downtime'!A:M,13,FALSE),0)</f>
        <v>40</v>
      </c>
      <c r="K5">
        <f t="shared" si="2"/>
        <v>1</v>
      </c>
      <c r="L5">
        <f>IFERROR(VLOOKUP($C5,'Line downtime'!$A:$M,3,FALSE),0)</f>
        <v>0</v>
      </c>
      <c r="M5">
        <f>IFERROR(VLOOKUP($C5,'Line downtime'!$A:$M,6,FALSE),0)</f>
        <v>0</v>
      </c>
      <c r="N5">
        <f>IFERROR(VLOOKUP($C5,'Line downtime'!$A:$M,7,FALSE),0)</f>
        <v>15</v>
      </c>
      <c r="O5">
        <f>IFERROR(VLOOKUP($C5,'Line downtime'!$A:$M,9,FALSE),0)</f>
        <v>0</v>
      </c>
      <c r="P5">
        <f>IFERROR(VLOOKUP($C5,'Line downtime'!$A:$M,11,FALSE),0)</f>
        <v>0</v>
      </c>
      <c r="Q5">
        <f>IFERROR(VLOOKUP($C5,'Line downtime'!$A:$M,12,FALSE),0)</f>
        <v>0</v>
      </c>
    </row>
    <row r="6" spans="1:17" x14ac:dyDescent="0.3">
      <c r="A6" s="1">
        <v>45533</v>
      </c>
      <c r="B6" t="s">
        <v>25</v>
      </c>
      <c r="C6">
        <v>422115</v>
      </c>
      <c r="D6" t="s">
        <v>40</v>
      </c>
      <c r="E6" s="3">
        <v>0.80208333333333326</v>
      </c>
      <c r="F6" s="3">
        <v>0.86041666666666661</v>
      </c>
      <c r="G6" s="6">
        <f t="shared" si="0"/>
        <v>84</v>
      </c>
      <c r="H6">
        <f>VLOOKUP(B6,Products!A:D,4,FALSE)</f>
        <v>60</v>
      </c>
      <c r="I6" s="8">
        <f t="shared" si="1"/>
        <v>0.7142857142857143</v>
      </c>
      <c r="J6" s="6">
        <f>IFERROR(VLOOKUP(C6,'Line downtime'!A:M,2,FALSE),0)+IFERROR(VLOOKUP(C6,'Line downtime'!A:M,3,FALSE),0)+IFERROR(VLOOKUP(C6,'Line downtime'!A:M,4,FALSE),0)+IFERROR(VLOOKUP(C6,'Line downtime'!A:M,5,FALSE),0)+IFERROR(VLOOKUP(C6,'Line downtime'!A:M,6,FALSE),0)+IFERROR(VLOOKUP(C6,'Line downtime'!A:M,7,FALSE),0)+IFERROR(VLOOKUP(C6,'Line downtime'!A:M,8,FALSE),0)+IFERROR(VLOOKUP(C6,'Line downtime'!A:M,9,FALSE),0)+IFERROR(VLOOKUP(C6,'Line downtime'!A:M,10,FALSE),0)+IFERROR(VLOOKUP(C6,'Line downtime'!A:M,11,FALSE),0)+IFERROR(VLOOKUP(C6,'Line downtime'!A:M,12,FALSE),0)+IFERROR(VLOOKUP(C6,'Line downtime'!A:M,13,FALSE),0)</f>
        <v>24</v>
      </c>
      <c r="K6">
        <f t="shared" si="2"/>
        <v>1</v>
      </c>
      <c r="L6">
        <f>IFERROR(VLOOKUP($C6,'Line downtime'!$A:$M,3,FALSE),0)</f>
        <v>0</v>
      </c>
      <c r="M6">
        <f>IFERROR(VLOOKUP($C6,'Line downtime'!$A:$M,6,FALSE),0)</f>
        <v>0</v>
      </c>
      <c r="N6">
        <f>IFERROR(VLOOKUP($C6,'Line downtime'!$A:$M,7,FALSE),0)</f>
        <v>0</v>
      </c>
      <c r="O6">
        <f>IFERROR(VLOOKUP($C6,'Line downtime'!$A:$M,9,FALSE),0)</f>
        <v>0</v>
      </c>
      <c r="P6">
        <f>IFERROR(VLOOKUP($C6,'Line downtime'!$A:$M,11,FALSE),0)</f>
        <v>24</v>
      </c>
      <c r="Q6">
        <f>IFERROR(VLOOKUP($C6,'Line downtime'!$A:$M,12,FALSE),0)</f>
        <v>0</v>
      </c>
    </row>
    <row r="7" spans="1:17" x14ac:dyDescent="0.3">
      <c r="A7" s="1">
        <v>45533</v>
      </c>
      <c r="B7" t="s">
        <v>25</v>
      </c>
      <c r="C7">
        <v>422116</v>
      </c>
      <c r="D7" t="s">
        <v>40</v>
      </c>
      <c r="E7" s="3">
        <v>0.86041666666666661</v>
      </c>
      <c r="F7" s="3">
        <v>0.90208333333333324</v>
      </c>
      <c r="G7" s="6">
        <f t="shared" si="0"/>
        <v>60</v>
      </c>
      <c r="H7">
        <f>VLOOKUP(B7,Products!A:D,4,FALSE)</f>
        <v>60</v>
      </c>
      <c r="I7" s="8">
        <f t="shared" si="1"/>
        <v>1</v>
      </c>
      <c r="J7" s="6">
        <f>IFERROR(VLOOKUP(C7,'Line downtime'!A:M,2,FALSE),0)+IFERROR(VLOOKUP(C7,'Line downtime'!A:M,3,FALSE),0)+IFERROR(VLOOKUP(C7,'Line downtime'!A:M,4,FALSE),0)+IFERROR(VLOOKUP(C7,'Line downtime'!A:M,5,FALSE),0)+IFERROR(VLOOKUP(C7,'Line downtime'!A:M,6,FALSE),0)+IFERROR(VLOOKUP(C7,'Line downtime'!A:M,7,FALSE),0)+IFERROR(VLOOKUP(C7,'Line downtime'!A:M,8,FALSE),0)+IFERROR(VLOOKUP(C7,'Line downtime'!A:M,9,FALSE),0)+IFERROR(VLOOKUP(C7,'Line downtime'!A:M,10,FALSE),0)+IFERROR(VLOOKUP(C7,'Line downtime'!A:M,11,FALSE),0)+IFERROR(VLOOKUP(C7,'Line downtime'!A:M,12,FALSE),0)+IFERROR(VLOOKUP(C7,'Line downtime'!A:M,13,FALSE),0)</f>
        <v>0</v>
      </c>
      <c r="K7">
        <f t="shared" si="2"/>
        <v>1</v>
      </c>
      <c r="L7">
        <f>IFERROR(VLOOKUP($C7,'Line downtime'!$A:$M,3,FALSE),0)</f>
        <v>0</v>
      </c>
      <c r="M7">
        <f>IFERROR(VLOOKUP($C7,'Line downtime'!$A:$M,6,FALSE),0)</f>
        <v>0</v>
      </c>
      <c r="N7">
        <f>IFERROR(VLOOKUP($C7,'Line downtime'!$A:$M,7,FALSE),0)</f>
        <v>0</v>
      </c>
      <c r="O7">
        <f>IFERROR(VLOOKUP($C7,'Line downtime'!$A:$M,9,FALSE),0)</f>
        <v>0</v>
      </c>
      <c r="P7">
        <f>IFERROR(VLOOKUP($C7,'Line downtime'!$A:$M,11,FALSE),0)</f>
        <v>0</v>
      </c>
      <c r="Q7">
        <f>IFERROR(VLOOKUP($C7,'Line downtime'!$A:$M,12,FALSE),0)</f>
        <v>0</v>
      </c>
    </row>
    <row r="8" spans="1:17" x14ac:dyDescent="0.3">
      <c r="A8" s="1">
        <v>45533</v>
      </c>
      <c r="B8" t="s">
        <v>25</v>
      </c>
      <c r="C8">
        <v>422117</v>
      </c>
      <c r="D8" t="s">
        <v>40</v>
      </c>
      <c r="E8" s="3">
        <v>0.90208333333333324</v>
      </c>
      <c r="F8" s="3">
        <v>0.95416666666666661</v>
      </c>
      <c r="G8" s="6">
        <f t="shared" si="0"/>
        <v>75</v>
      </c>
      <c r="H8">
        <f>VLOOKUP(B8,Products!A:D,4,FALSE)</f>
        <v>60</v>
      </c>
      <c r="I8" s="8">
        <f t="shared" si="1"/>
        <v>0.8</v>
      </c>
      <c r="J8" s="6">
        <f>IFERROR(VLOOKUP(C8,'Line downtime'!A:M,2,FALSE),0)+IFERROR(VLOOKUP(C8,'Line downtime'!A:M,3,FALSE),0)+IFERROR(VLOOKUP(C8,'Line downtime'!A:M,4,FALSE),0)+IFERROR(VLOOKUP(C8,'Line downtime'!A:M,5,FALSE),0)+IFERROR(VLOOKUP(C8,'Line downtime'!A:M,6,FALSE),0)+IFERROR(VLOOKUP(C8,'Line downtime'!A:M,7,FALSE),0)+IFERROR(VLOOKUP(C8,'Line downtime'!A:M,8,FALSE),0)+IFERROR(VLOOKUP(C8,'Line downtime'!A:M,9,FALSE),0)+IFERROR(VLOOKUP(C8,'Line downtime'!A:M,10,FALSE),0)+IFERROR(VLOOKUP(C8,'Line downtime'!A:M,11,FALSE),0)+IFERROR(VLOOKUP(C8,'Line downtime'!A:M,12,FALSE),0)+IFERROR(VLOOKUP(C8,'Line downtime'!A:M,13,FALSE),0)</f>
        <v>15</v>
      </c>
      <c r="K8">
        <f t="shared" si="2"/>
        <v>1</v>
      </c>
      <c r="L8">
        <f>IFERROR(VLOOKUP($C8,'Line downtime'!$A:$M,3,FALSE),0)</f>
        <v>10</v>
      </c>
      <c r="M8">
        <f>IFERROR(VLOOKUP($C8,'Line downtime'!$A:$M,6,FALSE),0)</f>
        <v>0</v>
      </c>
      <c r="N8">
        <f>IFERROR(VLOOKUP($C8,'Line downtime'!$A:$M,7,FALSE),0)</f>
        <v>5</v>
      </c>
      <c r="O8">
        <f>IFERROR(VLOOKUP($C8,'Line downtime'!$A:$M,9,FALSE),0)</f>
        <v>0</v>
      </c>
      <c r="P8">
        <f>IFERROR(VLOOKUP($C8,'Line downtime'!$A:$M,11,FALSE),0)</f>
        <v>0</v>
      </c>
      <c r="Q8">
        <f>IFERROR(VLOOKUP($C8,'Line downtime'!$A:$M,12,FALSE),0)</f>
        <v>0</v>
      </c>
    </row>
    <row r="9" spans="1:17" x14ac:dyDescent="0.3">
      <c r="A9" s="1">
        <v>45534</v>
      </c>
      <c r="B9" t="s">
        <v>26</v>
      </c>
      <c r="C9">
        <v>422118</v>
      </c>
      <c r="D9" t="s">
        <v>41</v>
      </c>
      <c r="E9" s="3">
        <v>0.1701388888888889</v>
      </c>
      <c r="F9" s="3">
        <v>0.25347222222222221</v>
      </c>
      <c r="G9" s="6">
        <f t="shared" si="0"/>
        <v>120</v>
      </c>
      <c r="H9">
        <f>VLOOKUP(B9,Products!A:D,4,FALSE)</f>
        <v>60</v>
      </c>
      <c r="I9" s="8">
        <f t="shared" si="1"/>
        <v>0.5</v>
      </c>
      <c r="J9" s="6">
        <f>IFERROR(VLOOKUP(C9,'Line downtime'!A:M,2,FALSE),0)+IFERROR(VLOOKUP(C9,'Line downtime'!A:M,3,FALSE),0)+IFERROR(VLOOKUP(C9,'Line downtime'!A:M,4,FALSE),0)+IFERROR(VLOOKUP(C9,'Line downtime'!A:M,5,FALSE),0)+IFERROR(VLOOKUP(C9,'Line downtime'!A:M,6,FALSE),0)+IFERROR(VLOOKUP(C9,'Line downtime'!A:M,7,FALSE),0)+IFERROR(VLOOKUP(C9,'Line downtime'!A:M,8,FALSE),0)+IFERROR(VLOOKUP(C9,'Line downtime'!A:M,9,FALSE),0)+IFERROR(VLOOKUP(C9,'Line downtime'!A:M,10,FALSE),0)+IFERROR(VLOOKUP(C9,'Line downtime'!A:M,11,FALSE),0)+IFERROR(VLOOKUP(C9,'Line downtime'!A:M,12,FALSE),0)+IFERROR(VLOOKUP(C9,'Line downtime'!A:M,13,FALSE),0)</f>
        <v>60</v>
      </c>
      <c r="K9">
        <f t="shared" si="2"/>
        <v>1</v>
      </c>
      <c r="L9">
        <f>IFERROR(VLOOKUP($C9,'Line downtime'!$A:$M,3,FALSE),0)</f>
        <v>0</v>
      </c>
      <c r="M9">
        <f>IFERROR(VLOOKUP($C9,'Line downtime'!$A:$M,6,FALSE),0)</f>
        <v>0</v>
      </c>
      <c r="N9">
        <f>IFERROR(VLOOKUP($C9,'Line downtime'!$A:$M,7,FALSE),0)</f>
        <v>14</v>
      </c>
      <c r="O9">
        <f>IFERROR(VLOOKUP($C9,'Line downtime'!$A:$M,9,FALSE),0)</f>
        <v>0</v>
      </c>
      <c r="P9">
        <f>IFERROR(VLOOKUP($C9,'Line downtime'!$A:$M,11,FALSE),0)</f>
        <v>0</v>
      </c>
      <c r="Q9">
        <f>IFERROR(VLOOKUP($C9,'Line downtime'!$A:$M,12,FALSE),0)</f>
        <v>10</v>
      </c>
    </row>
    <row r="10" spans="1:17" x14ac:dyDescent="0.3">
      <c r="A10" s="1">
        <v>45534</v>
      </c>
      <c r="B10" t="s">
        <v>26</v>
      </c>
      <c r="C10">
        <v>422119</v>
      </c>
      <c r="D10" t="s">
        <v>41</v>
      </c>
      <c r="E10" s="3">
        <v>0.25347222222222221</v>
      </c>
      <c r="F10" s="3">
        <v>0.3125</v>
      </c>
      <c r="G10" s="6">
        <f t="shared" si="0"/>
        <v>85</v>
      </c>
      <c r="H10">
        <f>VLOOKUP(B10,Products!A:D,4,FALSE)</f>
        <v>60</v>
      </c>
      <c r="I10" s="8">
        <f t="shared" si="1"/>
        <v>0.70588235294117652</v>
      </c>
      <c r="J10" s="6">
        <f>IFERROR(VLOOKUP(C10,'Line downtime'!A:M,2,FALSE),0)+IFERROR(VLOOKUP(C10,'Line downtime'!A:M,3,FALSE),0)+IFERROR(VLOOKUP(C10,'Line downtime'!A:M,4,FALSE),0)+IFERROR(VLOOKUP(C10,'Line downtime'!A:M,5,FALSE),0)+IFERROR(VLOOKUP(C10,'Line downtime'!A:M,6,FALSE),0)+IFERROR(VLOOKUP(C10,'Line downtime'!A:M,7,FALSE),0)+IFERROR(VLOOKUP(C10,'Line downtime'!A:M,8,FALSE),0)+IFERROR(VLOOKUP(C10,'Line downtime'!A:M,9,FALSE),0)+IFERROR(VLOOKUP(C10,'Line downtime'!A:M,10,FALSE),0)+IFERROR(VLOOKUP(C10,'Line downtime'!A:M,11,FALSE),0)+IFERROR(VLOOKUP(C10,'Line downtime'!A:M,12,FALSE),0)+IFERROR(VLOOKUP(C10,'Line downtime'!A:M,13,FALSE),0)</f>
        <v>25</v>
      </c>
      <c r="K10">
        <f t="shared" si="2"/>
        <v>1</v>
      </c>
      <c r="L10">
        <f>IFERROR(VLOOKUP($C10,'Line downtime'!$A:$M,3,FALSE),0)</f>
        <v>0</v>
      </c>
      <c r="M10">
        <f>IFERROR(VLOOKUP($C10,'Line downtime'!$A:$M,6,FALSE),0)</f>
        <v>0</v>
      </c>
      <c r="N10">
        <f>IFERROR(VLOOKUP($C10,'Line downtime'!$A:$M,7,FALSE),0)</f>
        <v>0</v>
      </c>
      <c r="O10">
        <f>IFERROR(VLOOKUP($C10,'Line downtime'!$A:$M,9,FALSE),0)</f>
        <v>0</v>
      </c>
      <c r="P10">
        <f>IFERROR(VLOOKUP($C10,'Line downtime'!$A:$M,11,FALSE),0)</f>
        <v>0</v>
      </c>
      <c r="Q10">
        <f>IFERROR(VLOOKUP($C10,'Line downtime'!$A:$M,12,FALSE),0)</f>
        <v>0</v>
      </c>
    </row>
    <row r="11" spans="1:17" x14ac:dyDescent="0.3">
      <c r="A11" s="1">
        <v>45534</v>
      </c>
      <c r="B11" t="s">
        <v>26</v>
      </c>
      <c r="C11">
        <v>422120</v>
      </c>
      <c r="D11" t="s">
        <v>41</v>
      </c>
      <c r="E11" s="3">
        <v>0.3125</v>
      </c>
      <c r="F11" s="3">
        <v>0.39027777777777778</v>
      </c>
      <c r="G11" s="6">
        <f t="shared" si="0"/>
        <v>112</v>
      </c>
      <c r="H11">
        <f>VLOOKUP(B11,Products!A:D,4,FALSE)</f>
        <v>60</v>
      </c>
      <c r="I11" s="8">
        <f t="shared" si="1"/>
        <v>0.5357142857142857</v>
      </c>
      <c r="J11" s="6">
        <f>IFERROR(VLOOKUP(C11,'Line downtime'!A:M,2,FALSE),0)+IFERROR(VLOOKUP(C11,'Line downtime'!A:M,3,FALSE),0)+IFERROR(VLOOKUP(C11,'Line downtime'!A:M,4,FALSE),0)+IFERROR(VLOOKUP(C11,'Line downtime'!A:M,5,FALSE),0)+IFERROR(VLOOKUP(C11,'Line downtime'!A:M,6,FALSE),0)+IFERROR(VLOOKUP(C11,'Line downtime'!A:M,7,FALSE),0)+IFERROR(VLOOKUP(C11,'Line downtime'!A:M,8,FALSE),0)+IFERROR(VLOOKUP(C11,'Line downtime'!A:M,9,FALSE),0)+IFERROR(VLOOKUP(C11,'Line downtime'!A:M,10,FALSE),0)+IFERROR(VLOOKUP(C11,'Line downtime'!A:M,11,FALSE),0)+IFERROR(VLOOKUP(C11,'Line downtime'!A:M,12,FALSE),0)+IFERROR(VLOOKUP(C11,'Line downtime'!A:M,13,FALSE),0)</f>
        <v>52</v>
      </c>
      <c r="K11">
        <f t="shared" si="2"/>
        <v>1</v>
      </c>
      <c r="L11">
        <f>IFERROR(VLOOKUP($C11,'Line downtime'!$A:$M,3,FALSE),0)</f>
        <v>0</v>
      </c>
      <c r="M11">
        <f>IFERROR(VLOOKUP($C11,'Line downtime'!$A:$M,6,FALSE),0)</f>
        <v>15</v>
      </c>
      <c r="N11">
        <f>IFERROR(VLOOKUP($C11,'Line downtime'!$A:$M,7,FALSE),0)</f>
        <v>0</v>
      </c>
      <c r="O11">
        <f>IFERROR(VLOOKUP($C11,'Line downtime'!$A:$M,9,FALSE),0)</f>
        <v>0</v>
      </c>
      <c r="P11">
        <f>IFERROR(VLOOKUP($C11,'Line downtime'!$A:$M,11,FALSE),0)</f>
        <v>0</v>
      </c>
      <c r="Q11">
        <f>IFERROR(VLOOKUP($C11,'Line downtime'!$A:$M,12,FALSE),0)</f>
        <v>0</v>
      </c>
    </row>
    <row r="12" spans="1:17" x14ac:dyDescent="0.3">
      <c r="A12" s="1">
        <v>45534</v>
      </c>
      <c r="B12" t="s">
        <v>26</v>
      </c>
      <c r="C12">
        <v>422121</v>
      </c>
      <c r="D12" t="s">
        <v>42</v>
      </c>
      <c r="E12" s="3">
        <v>0.39027777777777778</v>
      </c>
      <c r="F12" s="3">
        <v>0.44236111111111109</v>
      </c>
      <c r="G12" s="6">
        <f t="shared" si="0"/>
        <v>75</v>
      </c>
      <c r="H12">
        <f>VLOOKUP(B12,Products!A:D,4,FALSE)</f>
        <v>60</v>
      </c>
      <c r="I12" s="8">
        <f t="shared" si="1"/>
        <v>0.8</v>
      </c>
      <c r="J12" s="6">
        <f>IFERROR(VLOOKUP(C12,'Line downtime'!A:M,2,FALSE),0)+IFERROR(VLOOKUP(C12,'Line downtime'!A:M,3,FALSE),0)+IFERROR(VLOOKUP(C12,'Line downtime'!A:M,4,FALSE),0)+IFERROR(VLOOKUP(C12,'Line downtime'!A:M,5,FALSE),0)+IFERROR(VLOOKUP(C12,'Line downtime'!A:M,6,FALSE),0)+IFERROR(VLOOKUP(C12,'Line downtime'!A:M,7,FALSE),0)+IFERROR(VLOOKUP(C12,'Line downtime'!A:M,8,FALSE),0)+IFERROR(VLOOKUP(C12,'Line downtime'!A:M,9,FALSE),0)+IFERROR(VLOOKUP(C12,'Line downtime'!A:M,10,FALSE),0)+IFERROR(VLOOKUP(C12,'Line downtime'!A:M,11,FALSE),0)+IFERROR(VLOOKUP(C12,'Line downtime'!A:M,12,FALSE),0)+IFERROR(VLOOKUP(C12,'Line downtime'!A:M,13,FALSE),0)</f>
        <v>15</v>
      </c>
      <c r="K12">
        <f t="shared" si="2"/>
        <v>1</v>
      </c>
      <c r="L12">
        <f>IFERROR(VLOOKUP($C12,'Line downtime'!$A:$M,3,FALSE),0)</f>
        <v>0</v>
      </c>
      <c r="M12">
        <f>IFERROR(VLOOKUP($C12,'Line downtime'!$A:$M,6,FALSE),0)</f>
        <v>0</v>
      </c>
      <c r="N12">
        <f>IFERROR(VLOOKUP($C12,'Line downtime'!$A:$M,7,FALSE),0)</f>
        <v>0</v>
      </c>
      <c r="O12">
        <f>IFERROR(VLOOKUP($C12,'Line downtime'!$A:$M,9,FALSE),0)</f>
        <v>0</v>
      </c>
      <c r="P12">
        <f>IFERROR(VLOOKUP($C12,'Line downtime'!$A:$M,11,FALSE),0)</f>
        <v>0</v>
      </c>
      <c r="Q12">
        <f>IFERROR(VLOOKUP($C12,'Line downtime'!$A:$M,12,FALSE),0)</f>
        <v>0</v>
      </c>
    </row>
    <row r="13" spans="1:17" x14ac:dyDescent="0.3">
      <c r="A13" s="1">
        <v>45534</v>
      </c>
      <c r="B13" t="s">
        <v>26</v>
      </c>
      <c r="C13">
        <v>422122</v>
      </c>
      <c r="D13" t="s">
        <v>42</v>
      </c>
      <c r="E13" s="3">
        <v>0.44236111111111109</v>
      </c>
      <c r="F13" s="3">
        <v>0.50138888888888888</v>
      </c>
      <c r="G13" s="6">
        <f t="shared" si="0"/>
        <v>85</v>
      </c>
      <c r="H13">
        <f>VLOOKUP(B13,Products!A:D,4,FALSE)</f>
        <v>60</v>
      </c>
      <c r="I13" s="8">
        <f t="shared" si="1"/>
        <v>0.70588235294117652</v>
      </c>
      <c r="J13" s="6">
        <f>IFERROR(VLOOKUP(C13,'Line downtime'!A:M,2,FALSE),0)+IFERROR(VLOOKUP(C13,'Line downtime'!A:M,3,FALSE),0)+IFERROR(VLOOKUP(C13,'Line downtime'!A:M,4,FALSE),0)+IFERROR(VLOOKUP(C13,'Line downtime'!A:M,5,FALSE),0)+IFERROR(VLOOKUP(C13,'Line downtime'!A:M,6,FALSE),0)+IFERROR(VLOOKUP(C13,'Line downtime'!A:M,7,FALSE),0)+IFERROR(VLOOKUP(C13,'Line downtime'!A:M,8,FALSE),0)+IFERROR(VLOOKUP(C13,'Line downtime'!A:M,9,FALSE),0)+IFERROR(VLOOKUP(C13,'Line downtime'!A:M,10,FALSE),0)+IFERROR(VLOOKUP(C13,'Line downtime'!A:M,11,FALSE),0)+IFERROR(VLOOKUP(C13,'Line downtime'!A:M,12,FALSE),0)+IFERROR(VLOOKUP(C13,'Line downtime'!A:M,13,FALSE),0)</f>
        <v>25</v>
      </c>
      <c r="K13">
        <f t="shared" si="2"/>
        <v>1</v>
      </c>
      <c r="L13">
        <f>IFERROR(VLOOKUP($C13,'Line downtime'!$A:$M,3,FALSE),0)</f>
        <v>0</v>
      </c>
      <c r="M13">
        <f>IFERROR(VLOOKUP($C13,'Line downtime'!$A:$M,6,FALSE),0)</f>
        <v>0</v>
      </c>
      <c r="N13">
        <f>IFERROR(VLOOKUP($C13,'Line downtime'!$A:$M,7,FALSE),0)</f>
        <v>0</v>
      </c>
      <c r="O13">
        <f>IFERROR(VLOOKUP($C13,'Line downtime'!$A:$M,9,FALSE),0)</f>
        <v>0</v>
      </c>
      <c r="P13">
        <f>IFERROR(VLOOKUP($C13,'Line downtime'!$A:$M,11,FALSE),0)</f>
        <v>0</v>
      </c>
      <c r="Q13">
        <f>IFERROR(VLOOKUP($C13,'Line downtime'!$A:$M,12,FALSE),0)</f>
        <v>0</v>
      </c>
    </row>
    <row r="14" spans="1:17" x14ac:dyDescent="0.3">
      <c r="A14" s="1">
        <v>45534</v>
      </c>
      <c r="B14" t="s">
        <v>26</v>
      </c>
      <c r="C14">
        <v>422123</v>
      </c>
      <c r="D14" t="s">
        <v>42</v>
      </c>
      <c r="E14" s="3">
        <v>0.50138888888888888</v>
      </c>
      <c r="F14" s="3">
        <v>0.59375</v>
      </c>
      <c r="G14" s="6">
        <f t="shared" si="0"/>
        <v>133</v>
      </c>
      <c r="H14">
        <f>VLOOKUP(B14,Products!A:D,4,FALSE)</f>
        <v>60</v>
      </c>
      <c r="I14" s="8">
        <f t="shared" si="1"/>
        <v>0.45112781954887216</v>
      </c>
      <c r="J14" s="6">
        <f>IFERROR(VLOOKUP(C14,'Line downtime'!A:M,2,FALSE),0)+IFERROR(VLOOKUP(C14,'Line downtime'!A:M,3,FALSE),0)+IFERROR(VLOOKUP(C14,'Line downtime'!A:M,4,FALSE),0)+IFERROR(VLOOKUP(C14,'Line downtime'!A:M,5,FALSE),0)+IFERROR(VLOOKUP(C14,'Line downtime'!A:M,6,FALSE),0)+IFERROR(VLOOKUP(C14,'Line downtime'!A:M,7,FALSE),0)+IFERROR(VLOOKUP(C14,'Line downtime'!A:M,8,FALSE),0)+IFERROR(VLOOKUP(C14,'Line downtime'!A:M,9,FALSE),0)+IFERROR(VLOOKUP(C14,'Line downtime'!A:M,10,FALSE),0)+IFERROR(VLOOKUP(C14,'Line downtime'!A:M,11,FALSE),0)+IFERROR(VLOOKUP(C14,'Line downtime'!A:M,12,FALSE),0)+IFERROR(VLOOKUP(C14,'Line downtime'!A:M,13,FALSE),0)</f>
        <v>73</v>
      </c>
      <c r="K14">
        <f t="shared" si="2"/>
        <v>1</v>
      </c>
      <c r="L14">
        <f>IFERROR(VLOOKUP($C14,'Line downtime'!$A:$M,3,FALSE),0)</f>
        <v>0</v>
      </c>
      <c r="M14">
        <f>IFERROR(VLOOKUP($C14,'Line downtime'!$A:$M,6,FALSE),0)</f>
        <v>0</v>
      </c>
      <c r="N14">
        <f>IFERROR(VLOOKUP($C14,'Line downtime'!$A:$M,7,FALSE),0)</f>
        <v>0</v>
      </c>
      <c r="O14">
        <f>IFERROR(VLOOKUP($C14,'Line downtime'!$A:$M,9,FALSE),0)</f>
        <v>0</v>
      </c>
      <c r="P14">
        <f>IFERROR(VLOOKUP($C14,'Line downtime'!$A:$M,11,FALSE),0)</f>
        <v>0</v>
      </c>
      <c r="Q14">
        <f>IFERROR(VLOOKUP($C14,'Line downtime'!$A:$M,12,FALSE),0)</f>
        <v>0</v>
      </c>
    </row>
    <row r="15" spans="1:17" x14ac:dyDescent="0.3">
      <c r="A15" s="1">
        <v>45534</v>
      </c>
      <c r="B15" t="s">
        <v>26</v>
      </c>
      <c r="C15">
        <v>422124</v>
      </c>
      <c r="D15" t="s">
        <v>42</v>
      </c>
      <c r="E15" s="3">
        <v>0.59375</v>
      </c>
      <c r="F15" s="3">
        <v>0.66319444444444442</v>
      </c>
      <c r="G15" s="6">
        <f t="shared" si="0"/>
        <v>100</v>
      </c>
      <c r="H15">
        <f>VLOOKUP(B15,Products!A:D,4,FALSE)</f>
        <v>60</v>
      </c>
      <c r="I15" s="8">
        <f t="shared" si="1"/>
        <v>0.6</v>
      </c>
      <c r="J15" s="6">
        <f>IFERROR(VLOOKUP(C15,'Line downtime'!A:M,2,FALSE),0)+IFERROR(VLOOKUP(C15,'Line downtime'!A:M,3,FALSE),0)+IFERROR(VLOOKUP(C15,'Line downtime'!A:M,4,FALSE),0)+IFERROR(VLOOKUP(C15,'Line downtime'!A:M,5,FALSE),0)+IFERROR(VLOOKUP(C15,'Line downtime'!A:M,6,FALSE),0)+IFERROR(VLOOKUP(C15,'Line downtime'!A:M,7,FALSE),0)+IFERROR(VLOOKUP(C15,'Line downtime'!A:M,8,FALSE),0)+IFERROR(VLOOKUP(C15,'Line downtime'!A:M,9,FALSE),0)+IFERROR(VLOOKUP(C15,'Line downtime'!A:M,10,FALSE),0)+IFERROR(VLOOKUP(C15,'Line downtime'!A:M,11,FALSE),0)+IFERROR(VLOOKUP(C15,'Line downtime'!A:M,12,FALSE),0)+IFERROR(VLOOKUP(C15,'Line downtime'!A:M,13,FALSE),0)</f>
        <v>40</v>
      </c>
      <c r="K15">
        <f t="shared" si="2"/>
        <v>1</v>
      </c>
      <c r="L15">
        <f>IFERROR(VLOOKUP($C15,'Line downtime'!$A:$M,3,FALSE),0)</f>
        <v>0</v>
      </c>
      <c r="M15">
        <f>IFERROR(VLOOKUP($C15,'Line downtime'!$A:$M,6,FALSE),0)</f>
        <v>20</v>
      </c>
      <c r="N15">
        <f>IFERROR(VLOOKUP($C15,'Line downtime'!$A:$M,7,FALSE),0)</f>
        <v>20</v>
      </c>
      <c r="O15">
        <f>IFERROR(VLOOKUP($C15,'Line downtime'!$A:$M,9,FALSE),0)</f>
        <v>0</v>
      </c>
      <c r="P15">
        <f>IFERROR(VLOOKUP($C15,'Line downtime'!$A:$M,11,FALSE),0)</f>
        <v>0</v>
      </c>
      <c r="Q15">
        <f>IFERROR(VLOOKUP($C15,'Line downtime'!$A:$M,12,FALSE),0)</f>
        <v>0</v>
      </c>
    </row>
    <row r="16" spans="1:17" x14ac:dyDescent="0.3">
      <c r="A16" s="1">
        <v>45534</v>
      </c>
      <c r="B16" t="s">
        <v>26</v>
      </c>
      <c r="C16">
        <v>422125</v>
      </c>
      <c r="D16" t="s">
        <v>40</v>
      </c>
      <c r="E16" s="3">
        <v>0.66319444444444442</v>
      </c>
      <c r="F16" s="3">
        <v>0.71875</v>
      </c>
      <c r="G16" s="6">
        <f t="shared" si="0"/>
        <v>80</v>
      </c>
      <c r="H16">
        <f>VLOOKUP(B16,Products!A:D,4,FALSE)</f>
        <v>60</v>
      </c>
      <c r="I16" s="8">
        <f t="shared" si="1"/>
        <v>0.75</v>
      </c>
      <c r="J16" s="6">
        <f>IFERROR(VLOOKUP(C16,'Line downtime'!A:M,2,FALSE),0)+IFERROR(VLOOKUP(C16,'Line downtime'!A:M,3,FALSE),0)+IFERROR(VLOOKUP(C16,'Line downtime'!A:M,4,FALSE),0)+IFERROR(VLOOKUP(C16,'Line downtime'!A:M,5,FALSE),0)+IFERROR(VLOOKUP(C16,'Line downtime'!A:M,6,FALSE),0)+IFERROR(VLOOKUP(C16,'Line downtime'!A:M,7,FALSE),0)+IFERROR(VLOOKUP(C16,'Line downtime'!A:M,8,FALSE),0)+IFERROR(VLOOKUP(C16,'Line downtime'!A:M,9,FALSE),0)+IFERROR(VLOOKUP(C16,'Line downtime'!A:M,10,FALSE),0)+IFERROR(VLOOKUP(C16,'Line downtime'!A:M,11,FALSE),0)+IFERROR(VLOOKUP(C16,'Line downtime'!A:M,12,FALSE),0)+IFERROR(VLOOKUP(C16,'Line downtime'!A:M,13,FALSE),0)</f>
        <v>20</v>
      </c>
      <c r="K16">
        <f t="shared" si="2"/>
        <v>1</v>
      </c>
      <c r="L16">
        <f>IFERROR(VLOOKUP($C16,'Line downtime'!$A:$M,3,FALSE),0)</f>
        <v>0</v>
      </c>
      <c r="M16">
        <f>IFERROR(VLOOKUP($C16,'Line downtime'!$A:$M,6,FALSE),0)</f>
        <v>0</v>
      </c>
      <c r="N16">
        <f>IFERROR(VLOOKUP($C16,'Line downtime'!$A:$M,7,FALSE),0)</f>
        <v>0</v>
      </c>
      <c r="O16">
        <f>IFERROR(VLOOKUP($C16,'Line downtime'!$A:$M,9,FALSE),0)</f>
        <v>0</v>
      </c>
      <c r="P16">
        <f>IFERROR(VLOOKUP($C16,'Line downtime'!$A:$M,11,FALSE),0)</f>
        <v>0</v>
      </c>
      <c r="Q16">
        <f>IFERROR(VLOOKUP($C16,'Line downtime'!$A:$M,12,FALSE),0)</f>
        <v>10</v>
      </c>
    </row>
    <row r="17" spans="1:17" x14ac:dyDescent="0.3">
      <c r="A17" s="1">
        <v>45534</v>
      </c>
      <c r="B17" t="s">
        <v>26</v>
      </c>
      <c r="C17">
        <v>422126</v>
      </c>
      <c r="D17" t="s">
        <v>40</v>
      </c>
      <c r="E17" s="3">
        <v>0.71875</v>
      </c>
      <c r="F17" s="3">
        <v>0.79097222222222219</v>
      </c>
      <c r="G17" s="6">
        <f t="shared" si="0"/>
        <v>104</v>
      </c>
      <c r="H17">
        <f>VLOOKUP(B17,Products!A:D,4,FALSE)</f>
        <v>60</v>
      </c>
      <c r="I17" s="8">
        <f t="shared" si="1"/>
        <v>0.57692307692307687</v>
      </c>
      <c r="J17" s="6">
        <f>IFERROR(VLOOKUP(C17,'Line downtime'!A:M,2,FALSE),0)+IFERROR(VLOOKUP(C17,'Line downtime'!A:M,3,FALSE),0)+IFERROR(VLOOKUP(C17,'Line downtime'!A:M,4,FALSE),0)+IFERROR(VLOOKUP(C17,'Line downtime'!A:M,5,FALSE),0)+IFERROR(VLOOKUP(C17,'Line downtime'!A:M,6,FALSE),0)+IFERROR(VLOOKUP(C17,'Line downtime'!A:M,7,FALSE),0)+IFERROR(VLOOKUP(C17,'Line downtime'!A:M,8,FALSE),0)+IFERROR(VLOOKUP(C17,'Line downtime'!A:M,9,FALSE),0)+IFERROR(VLOOKUP(C17,'Line downtime'!A:M,10,FALSE),0)+IFERROR(VLOOKUP(C17,'Line downtime'!A:M,11,FALSE),0)+IFERROR(VLOOKUP(C17,'Line downtime'!A:M,12,FALSE),0)+IFERROR(VLOOKUP(C17,'Line downtime'!A:M,13,FALSE),0)</f>
        <v>44</v>
      </c>
      <c r="K17">
        <f t="shared" si="2"/>
        <v>1</v>
      </c>
      <c r="L17">
        <f>IFERROR(VLOOKUP($C17,'Line downtime'!$A:$M,3,FALSE),0)</f>
        <v>0</v>
      </c>
      <c r="M17">
        <f>IFERROR(VLOOKUP($C17,'Line downtime'!$A:$M,6,FALSE),0)</f>
        <v>0</v>
      </c>
      <c r="N17">
        <f>IFERROR(VLOOKUP($C17,'Line downtime'!$A:$M,7,FALSE),0)</f>
        <v>0</v>
      </c>
      <c r="O17">
        <f>IFERROR(VLOOKUP($C17,'Line downtime'!$A:$M,9,FALSE),0)</f>
        <v>44</v>
      </c>
      <c r="P17">
        <f>IFERROR(VLOOKUP($C17,'Line downtime'!$A:$M,11,FALSE),0)</f>
        <v>0</v>
      </c>
      <c r="Q17">
        <f>IFERROR(VLOOKUP($C17,'Line downtime'!$A:$M,12,FALSE),0)</f>
        <v>0</v>
      </c>
    </row>
    <row r="18" spans="1:17" x14ac:dyDescent="0.3">
      <c r="A18" s="1">
        <v>45534</v>
      </c>
      <c r="B18" t="s">
        <v>26</v>
      </c>
      <c r="C18">
        <v>422127</v>
      </c>
      <c r="D18" t="s">
        <v>40</v>
      </c>
      <c r="E18" s="3">
        <v>0.79097222222222219</v>
      </c>
      <c r="F18" s="3">
        <v>0.84861111111111109</v>
      </c>
      <c r="G18" s="6">
        <f t="shared" si="0"/>
        <v>83</v>
      </c>
      <c r="H18">
        <f>VLOOKUP(B18,Products!A:D,4,FALSE)</f>
        <v>60</v>
      </c>
      <c r="I18" s="8">
        <f t="shared" si="1"/>
        <v>0.72289156626506024</v>
      </c>
      <c r="J18" s="6">
        <f>IFERROR(VLOOKUP(C18,'Line downtime'!A:M,2,FALSE),0)+IFERROR(VLOOKUP(C18,'Line downtime'!A:M,3,FALSE),0)+IFERROR(VLOOKUP(C18,'Line downtime'!A:M,4,FALSE),0)+IFERROR(VLOOKUP(C18,'Line downtime'!A:M,5,FALSE),0)+IFERROR(VLOOKUP(C18,'Line downtime'!A:M,6,FALSE),0)+IFERROR(VLOOKUP(C18,'Line downtime'!A:M,7,FALSE),0)+IFERROR(VLOOKUP(C18,'Line downtime'!A:M,8,FALSE),0)+IFERROR(VLOOKUP(C18,'Line downtime'!A:M,9,FALSE),0)+IFERROR(VLOOKUP(C18,'Line downtime'!A:M,10,FALSE),0)+IFERROR(VLOOKUP(C18,'Line downtime'!A:M,11,FALSE),0)+IFERROR(VLOOKUP(C18,'Line downtime'!A:M,12,FALSE),0)+IFERROR(VLOOKUP(C18,'Line downtime'!A:M,13,FALSE),0)</f>
        <v>23</v>
      </c>
      <c r="K18">
        <f t="shared" si="2"/>
        <v>1</v>
      </c>
      <c r="L18">
        <f>IFERROR(VLOOKUP($C18,'Line downtime'!$A:$M,3,FALSE),0)</f>
        <v>0</v>
      </c>
      <c r="M18">
        <f>IFERROR(VLOOKUP($C18,'Line downtime'!$A:$M,6,FALSE),0)</f>
        <v>0</v>
      </c>
      <c r="N18">
        <f>IFERROR(VLOOKUP($C18,'Line downtime'!$A:$M,7,FALSE),0)</f>
        <v>23</v>
      </c>
      <c r="O18">
        <f>IFERROR(VLOOKUP($C18,'Line downtime'!$A:$M,9,FALSE),0)</f>
        <v>0</v>
      </c>
      <c r="P18">
        <f>IFERROR(VLOOKUP($C18,'Line downtime'!$A:$M,11,FALSE),0)</f>
        <v>0</v>
      </c>
      <c r="Q18">
        <f>IFERROR(VLOOKUP($C18,'Line downtime'!$A:$M,12,FALSE),0)</f>
        <v>0</v>
      </c>
    </row>
    <row r="19" spans="1:17" x14ac:dyDescent="0.3">
      <c r="A19" s="1">
        <v>45534</v>
      </c>
      <c r="B19" t="s">
        <v>26</v>
      </c>
      <c r="C19">
        <v>422128</v>
      </c>
      <c r="D19" t="s">
        <v>40</v>
      </c>
      <c r="E19" s="3">
        <v>0.84861111111111109</v>
      </c>
      <c r="F19" s="3">
        <v>0.92638888888888893</v>
      </c>
      <c r="G19" s="6">
        <f t="shared" si="0"/>
        <v>112</v>
      </c>
      <c r="H19">
        <f>VLOOKUP(B19,Products!A:D,4,FALSE)</f>
        <v>60</v>
      </c>
      <c r="I19" s="8">
        <f t="shared" si="1"/>
        <v>0.5357142857142857</v>
      </c>
      <c r="J19" s="6">
        <f>IFERROR(VLOOKUP(C19,'Line downtime'!A:M,2,FALSE),0)+IFERROR(VLOOKUP(C19,'Line downtime'!A:M,3,FALSE),0)+IFERROR(VLOOKUP(C19,'Line downtime'!A:M,4,FALSE),0)+IFERROR(VLOOKUP(C19,'Line downtime'!A:M,5,FALSE),0)+IFERROR(VLOOKUP(C19,'Line downtime'!A:M,6,FALSE),0)+IFERROR(VLOOKUP(C19,'Line downtime'!A:M,7,FALSE),0)+IFERROR(VLOOKUP(C19,'Line downtime'!A:M,8,FALSE),0)+IFERROR(VLOOKUP(C19,'Line downtime'!A:M,9,FALSE),0)+IFERROR(VLOOKUP(C19,'Line downtime'!A:M,10,FALSE),0)+IFERROR(VLOOKUP(C19,'Line downtime'!A:M,11,FALSE),0)+IFERROR(VLOOKUP(C19,'Line downtime'!A:M,12,FALSE),0)+IFERROR(VLOOKUP(C19,'Line downtime'!A:M,13,FALSE),0)</f>
        <v>52</v>
      </c>
      <c r="K19">
        <f t="shared" si="2"/>
        <v>1</v>
      </c>
      <c r="L19">
        <f>IFERROR(VLOOKUP($C19,'Line downtime'!$A:$M,3,FALSE),0)</f>
        <v>0</v>
      </c>
      <c r="M19">
        <f>IFERROR(VLOOKUP($C19,'Line downtime'!$A:$M,6,FALSE),0)</f>
        <v>22</v>
      </c>
      <c r="N19">
        <f>IFERROR(VLOOKUP($C19,'Line downtime'!$A:$M,7,FALSE),0)</f>
        <v>0</v>
      </c>
      <c r="O19">
        <f>IFERROR(VLOOKUP($C19,'Line downtime'!$A:$M,9,FALSE),0)</f>
        <v>0</v>
      </c>
      <c r="P19">
        <f>IFERROR(VLOOKUP($C19,'Line downtime'!$A:$M,11,FALSE),0)</f>
        <v>0</v>
      </c>
      <c r="Q19">
        <f>IFERROR(VLOOKUP($C19,'Line downtime'!$A:$M,12,FALSE),0)</f>
        <v>0</v>
      </c>
    </row>
    <row r="20" spans="1:17" x14ac:dyDescent="0.3">
      <c r="A20" s="1">
        <v>45534</v>
      </c>
      <c r="B20" t="s">
        <v>26</v>
      </c>
      <c r="C20">
        <v>422129</v>
      </c>
      <c r="D20" t="s">
        <v>40</v>
      </c>
      <c r="E20" s="3">
        <v>0.92638888888888893</v>
      </c>
      <c r="F20" s="3">
        <v>0.97847222222222219</v>
      </c>
      <c r="G20" s="6">
        <f t="shared" si="0"/>
        <v>75</v>
      </c>
      <c r="H20">
        <f>VLOOKUP(B20,Products!A:D,4,FALSE)</f>
        <v>60</v>
      </c>
      <c r="I20" s="8">
        <f t="shared" si="1"/>
        <v>0.8</v>
      </c>
      <c r="J20" s="6">
        <f>IFERROR(VLOOKUP(C20,'Line downtime'!A:M,2,FALSE),0)+IFERROR(VLOOKUP(C20,'Line downtime'!A:M,3,FALSE),0)+IFERROR(VLOOKUP(C20,'Line downtime'!A:M,4,FALSE),0)+IFERROR(VLOOKUP(C20,'Line downtime'!A:M,5,FALSE),0)+IFERROR(VLOOKUP(C20,'Line downtime'!A:M,6,FALSE),0)+IFERROR(VLOOKUP(C20,'Line downtime'!A:M,7,FALSE),0)+IFERROR(VLOOKUP(C20,'Line downtime'!A:M,8,FALSE),0)+IFERROR(VLOOKUP(C20,'Line downtime'!A:M,9,FALSE),0)+IFERROR(VLOOKUP(C20,'Line downtime'!A:M,10,FALSE),0)+IFERROR(VLOOKUP(C20,'Line downtime'!A:M,11,FALSE),0)+IFERROR(VLOOKUP(C20,'Line downtime'!A:M,12,FALSE),0)+IFERROR(VLOOKUP(C20,'Line downtime'!A:M,13,FALSE),0)</f>
        <v>15</v>
      </c>
      <c r="K20">
        <f t="shared" si="2"/>
        <v>1</v>
      </c>
      <c r="L20">
        <f>IFERROR(VLOOKUP($C20,'Line downtime'!$A:$M,3,FALSE),0)</f>
        <v>0</v>
      </c>
      <c r="M20">
        <f>IFERROR(VLOOKUP($C20,'Line downtime'!$A:$M,6,FALSE),0)</f>
        <v>0</v>
      </c>
      <c r="N20">
        <f>IFERROR(VLOOKUP($C20,'Line downtime'!$A:$M,7,FALSE),0)</f>
        <v>0</v>
      </c>
      <c r="O20">
        <f>IFERROR(VLOOKUP($C20,'Line downtime'!$A:$M,9,FALSE),0)</f>
        <v>0</v>
      </c>
      <c r="P20">
        <f>IFERROR(VLOOKUP($C20,'Line downtime'!$A:$M,11,FALSE),0)</f>
        <v>0</v>
      </c>
      <c r="Q20">
        <f>IFERROR(VLOOKUP($C20,'Line downtime'!$A:$M,12,FALSE),0)</f>
        <v>0</v>
      </c>
    </row>
    <row r="21" spans="1:17" x14ac:dyDescent="0.3">
      <c r="A21" s="1">
        <v>45535</v>
      </c>
      <c r="B21" t="s">
        <v>26</v>
      </c>
      <c r="C21">
        <v>422130</v>
      </c>
      <c r="D21" t="s">
        <v>41</v>
      </c>
      <c r="E21" s="3">
        <v>0.32291666666666669</v>
      </c>
      <c r="F21" s="3">
        <v>0.37847222222222221</v>
      </c>
      <c r="G21" s="6">
        <f t="shared" si="0"/>
        <v>80</v>
      </c>
      <c r="H21">
        <f>VLOOKUP(B21,Products!A:D,4,FALSE)</f>
        <v>60</v>
      </c>
      <c r="I21" s="8">
        <f t="shared" si="1"/>
        <v>0.75</v>
      </c>
      <c r="J21" s="6">
        <f>IFERROR(VLOOKUP(C21,'Line downtime'!A:M,2,FALSE),0)+IFERROR(VLOOKUP(C21,'Line downtime'!A:M,3,FALSE),0)+IFERROR(VLOOKUP(C21,'Line downtime'!A:M,4,FALSE),0)+IFERROR(VLOOKUP(C21,'Line downtime'!A:M,5,FALSE),0)+IFERROR(VLOOKUP(C21,'Line downtime'!A:M,6,FALSE),0)+IFERROR(VLOOKUP(C21,'Line downtime'!A:M,7,FALSE),0)+IFERROR(VLOOKUP(C21,'Line downtime'!A:M,8,FALSE),0)+IFERROR(VLOOKUP(C21,'Line downtime'!A:M,9,FALSE),0)+IFERROR(VLOOKUP(C21,'Line downtime'!A:M,10,FALSE),0)+IFERROR(VLOOKUP(C21,'Line downtime'!A:M,11,FALSE),0)+IFERROR(VLOOKUP(C21,'Line downtime'!A:M,12,FALSE),0)+IFERROR(VLOOKUP(C21,'Line downtime'!A:M,13,FALSE),0)</f>
        <v>20</v>
      </c>
      <c r="K21">
        <f t="shared" si="2"/>
        <v>1</v>
      </c>
      <c r="L21">
        <f>IFERROR(VLOOKUP($C21,'Line downtime'!$A:$M,3,FALSE),0)</f>
        <v>20</v>
      </c>
      <c r="M21">
        <f>IFERROR(VLOOKUP($C21,'Line downtime'!$A:$M,6,FALSE),0)</f>
        <v>0</v>
      </c>
      <c r="N21">
        <f>IFERROR(VLOOKUP($C21,'Line downtime'!$A:$M,7,FALSE),0)</f>
        <v>0</v>
      </c>
      <c r="O21">
        <f>IFERROR(VLOOKUP($C21,'Line downtime'!$A:$M,9,FALSE),0)</f>
        <v>0</v>
      </c>
      <c r="P21">
        <f>IFERROR(VLOOKUP($C21,'Line downtime'!$A:$M,11,FALSE),0)</f>
        <v>0</v>
      </c>
      <c r="Q21">
        <f>IFERROR(VLOOKUP($C21,'Line downtime'!$A:$M,12,FALSE),0)</f>
        <v>0</v>
      </c>
    </row>
    <row r="22" spans="1:17" x14ac:dyDescent="0.3">
      <c r="A22" s="1">
        <v>45535</v>
      </c>
      <c r="B22" t="s">
        <v>26</v>
      </c>
      <c r="C22">
        <v>422131</v>
      </c>
      <c r="D22" t="s">
        <v>41</v>
      </c>
      <c r="E22" s="3">
        <v>0.37847222222222221</v>
      </c>
      <c r="F22" s="3">
        <v>0.44097222222222221</v>
      </c>
      <c r="G22" s="6">
        <f t="shared" si="0"/>
        <v>90</v>
      </c>
      <c r="H22">
        <f>VLOOKUP(B22,Products!A:D,4,FALSE)</f>
        <v>60</v>
      </c>
      <c r="I22" s="8">
        <f t="shared" si="1"/>
        <v>0.66666666666666663</v>
      </c>
      <c r="J22" s="6">
        <f>IFERROR(VLOOKUP(C22,'Line downtime'!A:M,2,FALSE),0)+IFERROR(VLOOKUP(C22,'Line downtime'!A:M,3,FALSE),0)+IFERROR(VLOOKUP(C22,'Line downtime'!A:M,4,FALSE),0)+IFERROR(VLOOKUP(C22,'Line downtime'!A:M,5,FALSE),0)+IFERROR(VLOOKUP(C22,'Line downtime'!A:M,6,FALSE),0)+IFERROR(VLOOKUP(C22,'Line downtime'!A:M,7,FALSE),0)+IFERROR(VLOOKUP(C22,'Line downtime'!A:M,8,FALSE),0)+IFERROR(VLOOKUP(C22,'Line downtime'!A:M,9,FALSE),0)+IFERROR(VLOOKUP(C22,'Line downtime'!A:M,10,FALSE),0)+IFERROR(VLOOKUP(C22,'Line downtime'!A:M,11,FALSE),0)+IFERROR(VLOOKUP(C22,'Line downtime'!A:M,12,FALSE),0)+IFERROR(VLOOKUP(C22,'Line downtime'!A:M,13,FALSE),0)</f>
        <v>30</v>
      </c>
      <c r="K22">
        <f t="shared" si="2"/>
        <v>1</v>
      </c>
      <c r="L22">
        <f>IFERROR(VLOOKUP($C22,'Line downtime'!$A:$M,3,FALSE),0)</f>
        <v>0</v>
      </c>
      <c r="M22">
        <f>IFERROR(VLOOKUP($C22,'Line downtime'!$A:$M,6,FALSE),0)</f>
        <v>0</v>
      </c>
      <c r="N22">
        <f>IFERROR(VLOOKUP($C22,'Line downtime'!$A:$M,7,FALSE),0)</f>
        <v>0</v>
      </c>
      <c r="O22">
        <f>IFERROR(VLOOKUP($C22,'Line downtime'!$A:$M,9,FALSE),0)</f>
        <v>0</v>
      </c>
      <c r="P22">
        <f>IFERROR(VLOOKUP($C22,'Line downtime'!$A:$M,11,FALSE),0)</f>
        <v>10</v>
      </c>
      <c r="Q22">
        <f>IFERROR(VLOOKUP($C22,'Line downtime'!$A:$M,12,FALSE),0)</f>
        <v>0</v>
      </c>
    </row>
    <row r="23" spans="1:17" x14ac:dyDescent="0.3">
      <c r="A23" s="1">
        <v>45535</v>
      </c>
      <c r="B23" t="s">
        <v>26</v>
      </c>
      <c r="C23">
        <v>422132</v>
      </c>
      <c r="D23" t="s">
        <v>41</v>
      </c>
      <c r="E23" s="3">
        <v>0.44097222222222221</v>
      </c>
      <c r="F23" s="3">
        <v>0.4826388888888889</v>
      </c>
      <c r="G23" s="6">
        <f t="shared" si="0"/>
        <v>60</v>
      </c>
      <c r="H23">
        <f>VLOOKUP(B23,Products!A:D,4,FALSE)</f>
        <v>60</v>
      </c>
      <c r="I23" s="8">
        <f t="shared" si="1"/>
        <v>1</v>
      </c>
      <c r="J23" s="6">
        <f>IFERROR(VLOOKUP(C23,'Line downtime'!A:M,2,FALSE),0)+IFERROR(VLOOKUP(C23,'Line downtime'!A:M,3,FALSE),0)+IFERROR(VLOOKUP(C23,'Line downtime'!A:M,4,FALSE),0)+IFERROR(VLOOKUP(C23,'Line downtime'!A:M,5,FALSE),0)+IFERROR(VLOOKUP(C23,'Line downtime'!A:M,6,FALSE),0)+IFERROR(VLOOKUP(C23,'Line downtime'!A:M,7,FALSE),0)+IFERROR(VLOOKUP(C23,'Line downtime'!A:M,8,FALSE),0)+IFERROR(VLOOKUP(C23,'Line downtime'!A:M,9,FALSE),0)+IFERROR(VLOOKUP(C23,'Line downtime'!A:M,10,FALSE),0)+IFERROR(VLOOKUP(C23,'Line downtime'!A:M,11,FALSE),0)+IFERROR(VLOOKUP(C23,'Line downtime'!A:M,12,FALSE),0)+IFERROR(VLOOKUP(C23,'Line downtime'!A:M,13,FALSE),0)</f>
        <v>0</v>
      </c>
      <c r="K23">
        <f t="shared" si="2"/>
        <v>1</v>
      </c>
      <c r="L23">
        <f>IFERROR(VLOOKUP($C23,'Line downtime'!$A:$M,3,FALSE),0)</f>
        <v>0</v>
      </c>
      <c r="M23">
        <f>IFERROR(VLOOKUP($C23,'Line downtime'!$A:$M,6,FALSE),0)</f>
        <v>0</v>
      </c>
      <c r="N23">
        <f>IFERROR(VLOOKUP($C23,'Line downtime'!$A:$M,7,FALSE),0)</f>
        <v>0</v>
      </c>
      <c r="O23">
        <f>IFERROR(VLOOKUP($C23,'Line downtime'!$A:$M,9,FALSE),0)</f>
        <v>0</v>
      </c>
      <c r="P23">
        <f>IFERROR(VLOOKUP($C23,'Line downtime'!$A:$M,11,FALSE),0)</f>
        <v>0</v>
      </c>
      <c r="Q23">
        <f>IFERROR(VLOOKUP($C23,'Line downtime'!$A:$M,12,FALSE),0)</f>
        <v>0</v>
      </c>
    </row>
    <row r="24" spans="1:17" x14ac:dyDescent="0.3">
      <c r="A24" s="1">
        <v>45535</v>
      </c>
      <c r="B24" t="s">
        <v>27</v>
      </c>
      <c r="C24">
        <v>422133</v>
      </c>
      <c r="D24" t="s">
        <v>41</v>
      </c>
      <c r="E24" s="3">
        <v>0.4826388888888889</v>
      </c>
      <c r="F24" s="3">
        <v>0.53819444444444442</v>
      </c>
      <c r="G24" s="6">
        <f t="shared" si="0"/>
        <v>80</v>
      </c>
      <c r="H24">
        <f>VLOOKUP(B24,Products!A:D,4,FALSE)</f>
        <v>60</v>
      </c>
      <c r="I24" s="8">
        <f t="shared" si="1"/>
        <v>0.75</v>
      </c>
      <c r="J24" s="6">
        <f>IFERROR(VLOOKUP(C24,'Line downtime'!A:M,2,FALSE),0)+IFERROR(VLOOKUP(C24,'Line downtime'!A:M,3,FALSE),0)+IFERROR(VLOOKUP(C24,'Line downtime'!A:M,4,FALSE),0)+IFERROR(VLOOKUP(C24,'Line downtime'!A:M,5,FALSE),0)+IFERROR(VLOOKUP(C24,'Line downtime'!A:M,6,FALSE),0)+IFERROR(VLOOKUP(C24,'Line downtime'!A:M,7,FALSE),0)+IFERROR(VLOOKUP(C24,'Line downtime'!A:M,8,FALSE),0)+IFERROR(VLOOKUP(C24,'Line downtime'!A:M,9,FALSE),0)+IFERROR(VLOOKUP(C24,'Line downtime'!A:M,10,FALSE),0)+IFERROR(VLOOKUP(C24,'Line downtime'!A:M,11,FALSE),0)+IFERROR(VLOOKUP(C24,'Line downtime'!A:M,12,FALSE),0)+IFERROR(VLOOKUP(C24,'Line downtime'!A:M,13,FALSE),0)</f>
        <v>20</v>
      </c>
      <c r="K24">
        <f t="shared" si="2"/>
        <v>1</v>
      </c>
      <c r="L24">
        <f>IFERROR(VLOOKUP($C24,'Line downtime'!$A:$M,3,FALSE),0)</f>
        <v>0</v>
      </c>
      <c r="M24">
        <f>IFERROR(VLOOKUP($C24,'Line downtime'!$A:$M,6,FALSE),0)</f>
        <v>0</v>
      </c>
      <c r="N24">
        <f>IFERROR(VLOOKUP($C24,'Line downtime'!$A:$M,7,FALSE),0)</f>
        <v>0</v>
      </c>
      <c r="O24">
        <f>IFERROR(VLOOKUP($C24,'Line downtime'!$A:$M,9,FALSE),0)</f>
        <v>0</v>
      </c>
      <c r="P24">
        <f>IFERROR(VLOOKUP($C24,'Line downtime'!$A:$M,11,FALSE),0)</f>
        <v>0</v>
      </c>
      <c r="Q24">
        <f>IFERROR(VLOOKUP($C24,'Line downtime'!$A:$M,12,FALSE),0)</f>
        <v>0</v>
      </c>
    </row>
    <row r="25" spans="1:17" x14ac:dyDescent="0.3">
      <c r="A25" s="1">
        <v>45535</v>
      </c>
      <c r="B25" t="s">
        <v>27</v>
      </c>
      <c r="C25">
        <v>422134</v>
      </c>
      <c r="D25" t="s">
        <v>43</v>
      </c>
      <c r="E25" s="3">
        <v>0.53819444444444442</v>
      </c>
      <c r="F25" s="3">
        <v>0.61458333333333337</v>
      </c>
      <c r="G25" s="6">
        <f t="shared" si="0"/>
        <v>110</v>
      </c>
      <c r="H25">
        <f>VLOOKUP(B25,Products!A:D,4,FALSE)</f>
        <v>60</v>
      </c>
      <c r="I25" s="8">
        <f t="shared" si="1"/>
        <v>0.54545454545454541</v>
      </c>
      <c r="J25" s="6">
        <f>IFERROR(VLOOKUP(C25,'Line downtime'!A:M,2,FALSE),0)+IFERROR(VLOOKUP(C25,'Line downtime'!A:M,3,FALSE),0)+IFERROR(VLOOKUP(C25,'Line downtime'!A:M,4,FALSE),0)+IFERROR(VLOOKUP(C25,'Line downtime'!A:M,5,FALSE),0)+IFERROR(VLOOKUP(C25,'Line downtime'!A:M,6,FALSE),0)+IFERROR(VLOOKUP(C25,'Line downtime'!A:M,7,FALSE),0)+IFERROR(VLOOKUP(C25,'Line downtime'!A:M,8,FALSE),0)+IFERROR(VLOOKUP(C25,'Line downtime'!A:M,9,FALSE),0)+IFERROR(VLOOKUP(C25,'Line downtime'!A:M,10,FALSE),0)+IFERROR(VLOOKUP(C25,'Line downtime'!A:M,11,FALSE),0)+IFERROR(VLOOKUP(C25,'Line downtime'!A:M,12,FALSE),0)+IFERROR(VLOOKUP(C25,'Line downtime'!A:M,13,FALSE),0)</f>
        <v>50</v>
      </c>
      <c r="K25">
        <f t="shared" si="2"/>
        <v>1</v>
      </c>
      <c r="L25">
        <f>IFERROR(VLOOKUP($C25,'Line downtime'!$A:$M,3,FALSE),0)</f>
        <v>0</v>
      </c>
      <c r="M25">
        <f>IFERROR(VLOOKUP($C25,'Line downtime'!$A:$M,6,FALSE),0)</f>
        <v>0</v>
      </c>
      <c r="N25">
        <f>IFERROR(VLOOKUP($C25,'Line downtime'!$A:$M,7,FALSE),0)</f>
        <v>0</v>
      </c>
      <c r="O25">
        <f>IFERROR(VLOOKUP($C25,'Line downtime'!$A:$M,9,FALSE),0)</f>
        <v>20</v>
      </c>
      <c r="P25">
        <f>IFERROR(VLOOKUP($C25,'Line downtime'!$A:$M,11,FALSE),0)</f>
        <v>0</v>
      </c>
      <c r="Q25">
        <f>IFERROR(VLOOKUP($C25,'Line downtime'!$A:$M,12,FALSE),0)</f>
        <v>0</v>
      </c>
    </row>
    <row r="26" spans="1:17" x14ac:dyDescent="0.3">
      <c r="A26" s="1">
        <v>45535</v>
      </c>
      <c r="B26" t="s">
        <v>27</v>
      </c>
      <c r="C26">
        <v>422135</v>
      </c>
      <c r="D26" t="s">
        <v>43</v>
      </c>
      <c r="E26" s="3">
        <v>0.61458333333333337</v>
      </c>
      <c r="F26" s="3">
        <v>0.6875</v>
      </c>
      <c r="G26" s="6">
        <f t="shared" si="0"/>
        <v>105</v>
      </c>
      <c r="H26">
        <f>VLOOKUP(B26,Products!A:D,4,FALSE)</f>
        <v>60</v>
      </c>
      <c r="I26" s="8">
        <f t="shared" si="1"/>
        <v>0.5714285714285714</v>
      </c>
      <c r="J26" s="6">
        <f>IFERROR(VLOOKUP(C26,'Line downtime'!A:M,2,FALSE),0)+IFERROR(VLOOKUP(C26,'Line downtime'!A:M,3,FALSE),0)+IFERROR(VLOOKUP(C26,'Line downtime'!A:M,4,FALSE),0)+IFERROR(VLOOKUP(C26,'Line downtime'!A:M,5,FALSE),0)+IFERROR(VLOOKUP(C26,'Line downtime'!A:M,6,FALSE),0)+IFERROR(VLOOKUP(C26,'Line downtime'!A:M,7,FALSE),0)+IFERROR(VLOOKUP(C26,'Line downtime'!A:M,8,FALSE),0)+IFERROR(VLOOKUP(C26,'Line downtime'!A:M,9,FALSE),0)+IFERROR(VLOOKUP(C26,'Line downtime'!A:M,10,FALSE),0)+IFERROR(VLOOKUP(C26,'Line downtime'!A:M,11,FALSE),0)+IFERROR(VLOOKUP(C26,'Line downtime'!A:M,12,FALSE),0)+IFERROR(VLOOKUP(C26,'Line downtime'!A:M,13,FALSE),0)</f>
        <v>45</v>
      </c>
      <c r="K26">
        <f t="shared" si="2"/>
        <v>1</v>
      </c>
      <c r="L26">
        <f>IFERROR(VLOOKUP($C26,'Line downtime'!$A:$M,3,FALSE),0)</f>
        <v>0</v>
      </c>
      <c r="M26">
        <f>IFERROR(VLOOKUP($C26,'Line downtime'!$A:$M,6,FALSE),0)</f>
        <v>0</v>
      </c>
      <c r="N26">
        <f>IFERROR(VLOOKUP($C26,'Line downtime'!$A:$M,7,FALSE),0)</f>
        <v>0</v>
      </c>
      <c r="O26">
        <f>IFERROR(VLOOKUP($C26,'Line downtime'!$A:$M,9,FALSE),0)</f>
        <v>0</v>
      </c>
      <c r="P26">
        <f>IFERROR(VLOOKUP($C26,'Line downtime'!$A:$M,11,FALSE),0)</f>
        <v>0</v>
      </c>
      <c r="Q26">
        <f>IFERROR(VLOOKUP($C26,'Line downtime'!$A:$M,12,FALSE),0)</f>
        <v>0</v>
      </c>
    </row>
    <row r="27" spans="1:17" x14ac:dyDescent="0.3">
      <c r="A27" s="1">
        <v>45535</v>
      </c>
      <c r="B27" t="s">
        <v>27</v>
      </c>
      <c r="C27">
        <v>422136</v>
      </c>
      <c r="D27" t="s">
        <v>43</v>
      </c>
      <c r="E27" s="3">
        <v>0.6875</v>
      </c>
      <c r="F27" s="3">
        <v>0.72916666666666663</v>
      </c>
      <c r="G27" s="6">
        <f t="shared" si="0"/>
        <v>60</v>
      </c>
      <c r="H27">
        <f>VLOOKUP(B27,Products!A:D,4,FALSE)</f>
        <v>60</v>
      </c>
      <c r="I27" s="8">
        <f t="shared" si="1"/>
        <v>1</v>
      </c>
      <c r="J27" s="6">
        <f>IFERROR(VLOOKUP(C27,'Line downtime'!A:M,2,FALSE),0)+IFERROR(VLOOKUP(C27,'Line downtime'!A:M,3,FALSE),0)+IFERROR(VLOOKUP(C27,'Line downtime'!A:M,4,FALSE),0)+IFERROR(VLOOKUP(C27,'Line downtime'!A:M,5,FALSE),0)+IFERROR(VLOOKUP(C27,'Line downtime'!A:M,6,FALSE),0)+IFERROR(VLOOKUP(C27,'Line downtime'!A:M,7,FALSE),0)+IFERROR(VLOOKUP(C27,'Line downtime'!A:M,8,FALSE),0)+IFERROR(VLOOKUP(C27,'Line downtime'!A:M,9,FALSE),0)+IFERROR(VLOOKUP(C27,'Line downtime'!A:M,10,FALSE),0)+IFERROR(VLOOKUP(C27,'Line downtime'!A:M,11,FALSE),0)+IFERROR(VLOOKUP(C27,'Line downtime'!A:M,12,FALSE),0)+IFERROR(VLOOKUP(C27,'Line downtime'!A:M,13,FALSE),0)</f>
        <v>0</v>
      </c>
      <c r="K27">
        <f t="shared" si="2"/>
        <v>1</v>
      </c>
      <c r="L27">
        <f>IFERROR(VLOOKUP($C27,'Line downtime'!$A:$M,3,FALSE),0)</f>
        <v>0</v>
      </c>
      <c r="M27">
        <f>IFERROR(VLOOKUP($C27,'Line downtime'!$A:$M,6,FALSE),0)</f>
        <v>0</v>
      </c>
      <c r="N27">
        <f>IFERROR(VLOOKUP($C27,'Line downtime'!$A:$M,7,FALSE),0)</f>
        <v>0</v>
      </c>
      <c r="O27">
        <f>IFERROR(VLOOKUP($C27,'Line downtime'!$A:$M,9,FALSE),0)</f>
        <v>0</v>
      </c>
      <c r="P27">
        <f>IFERROR(VLOOKUP($C27,'Line downtime'!$A:$M,11,FALSE),0)</f>
        <v>0</v>
      </c>
      <c r="Q27">
        <f>IFERROR(VLOOKUP($C27,'Line downtime'!$A:$M,12,FALSE),0)</f>
        <v>0</v>
      </c>
    </row>
    <row r="28" spans="1:17" x14ac:dyDescent="0.3">
      <c r="A28" s="1">
        <v>45537</v>
      </c>
      <c r="B28" t="s">
        <v>28</v>
      </c>
      <c r="C28">
        <v>422137</v>
      </c>
      <c r="D28" t="s">
        <v>41</v>
      </c>
      <c r="E28" s="3">
        <v>4.1666666666666664E-2</v>
      </c>
      <c r="F28" s="3">
        <v>0.11458333333333333</v>
      </c>
      <c r="G28" s="6">
        <f t="shared" si="0"/>
        <v>105</v>
      </c>
      <c r="H28">
        <f>VLOOKUP(B28,Products!A:D,4,FALSE)</f>
        <v>60</v>
      </c>
      <c r="I28" s="8">
        <f t="shared" si="1"/>
        <v>0.5714285714285714</v>
      </c>
      <c r="J28" s="6">
        <f>IFERROR(VLOOKUP(C28,'Line downtime'!A:M,2,FALSE),0)+IFERROR(VLOOKUP(C28,'Line downtime'!A:M,3,FALSE),0)+IFERROR(VLOOKUP(C28,'Line downtime'!A:M,4,FALSE),0)+IFERROR(VLOOKUP(C28,'Line downtime'!A:M,5,FALSE),0)+IFERROR(VLOOKUP(C28,'Line downtime'!A:M,6,FALSE),0)+IFERROR(VLOOKUP(C28,'Line downtime'!A:M,7,FALSE),0)+IFERROR(VLOOKUP(C28,'Line downtime'!A:M,8,FALSE),0)+IFERROR(VLOOKUP(C28,'Line downtime'!A:M,9,FALSE),0)+IFERROR(VLOOKUP(C28,'Line downtime'!A:M,10,FALSE),0)+IFERROR(VLOOKUP(C28,'Line downtime'!A:M,11,FALSE),0)+IFERROR(VLOOKUP(C28,'Line downtime'!A:M,12,FALSE),0)+IFERROR(VLOOKUP(C28,'Line downtime'!A:M,13,FALSE),0)</f>
        <v>45</v>
      </c>
      <c r="K28">
        <f t="shared" si="2"/>
        <v>1</v>
      </c>
      <c r="L28">
        <f>IFERROR(VLOOKUP($C28,'Line downtime'!$A:$M,3,FALSE),0)</f>
        <v>0</v>
      </c>
      <c r="M28">
        <f>IFERROR(VLOOKUP($C28,'Line downtime'!$A:$M,6,FALSE),0)</f>
        <v>0</v>
      </c>
      <c r="N28">
        <f>IFERROR(VLOOKUP($C28,'Line downtime'!$A:$M,7,FALSE),0)</f>
        <v>0</v>
      </c>
      <c r="O28">
        <f>IFERROR(VLOOKUP($C28,'Line downtime'!$A:$M,9,FALSE),0)</f>
        <v>30</v>
      </c>
      <c r="P28">
        <f>IFERROR(VLOOKUP($C28,'Line downtime'!$A:$M,11,FALSE),0)</f>
        <v>15</v>
      </c>
      <c r="Q28">
        <f>IFERROR(VLOOKUP($C28,'Line downtime'!$A:$M,12,FALSE),0)</f>
        <v>0</v>
      </c>
    </row>
    <row r="29" spans="1:17" x14ac:dyDescent="0.3">
      <c r="A29" s="1">
        <v>45537</v>
      </c>
      <c r="B29" t="s">
        <v>28</v>
      </c>
      <c r="C29">
        <v>422138</v>
      </c>
      <c r="D29" t="s">
        <v>41</v>
      </c>
      <c r="E29" s="3">
        <v>0.11458333333333333</v>
      </c>
      <c r="F29" s="3">
        <v>0.1701388888888889</v>
      </c>
      <c r="G29" s="6">
        <f t="shared" si="0"/>
        <v>80</v>
      </c>
      <c r="H29">
        <f>VLOOKUP(B29,Products!A:D,4,FALSE)</f>
        <v>60</v>
      </c>
      <c r="I29" s="8">
        <f t="shared" si="1"/>
        <v>0.75</v>
      </c>
      <c r="J29" s="6">
        <f>IFERROR(VLOOKUP(C29,'Line downtime'!A:M,2,FALSE),0)+IFERROR(VLOOKUP(C29,'Line downtime'!A:M,3,FALSE),0)+IFERROR(VLOOKUP(C29,'Line downtime'!A:M,4,FALSE),0)+IFERROR(VLOOKUP(C29,'Line downtime'!A:M,5,FALSE),0)+IFERROR(VLOOKUP(C29,'Line downtime'!A:M,6,FALSE),0)+IFERROR(VLOOKUP(C29,'Line downtime'!A:M,7,FALSE),0)+IFERROR(VLOOKUP(C29,'Line downtime'!A:M,8,FALSE),0)+IFERROR(VLOOKUP(C29,'Line downtime'!A:M,9,FALSE),0)+IFERROR(VLOOKUP(C29,'Line downtime'!A:M,10,FALSE),0)+IFERROR(VLOOKUP(C29,'Line downtime'!A:M,11,FALSE),0)+IFERROR(VLOOKUP(C29,'Line downtime'!A:M,12,FALSE),0)+IFERROR(VLOOKUP(C29,'Line downtime'!A:M,13,FALSE),0)</f>
        <v>20</v>
      </c>
      <c r="K29">
        <f t="shared" si="2"/>
        <v>1</v>
      </c>
      <c r="L29">
        <f>IFERROR(VLOOKUP($C29,'Line downtime'!$A:$M,3,FALSE),0)</f>
        <v>0</v>
      </c>
      <c r="M29">
        <f>IFERROR(VLOOKUP($C29,'Line downtime'!$A:$M,6,FALSE),0)</f>
        <v>0</v>
      </c>
      <c r="N29">
        <f>IFERROR(VLOOKUP($C29,'Line downtime'!$A:$M,7,FALSE),0)</f>
        <v>0</v>
      </c>
      <c r="O29">
        <f>IFERROR(VLOOKUP($C29,'Line downtime'!$A:$M,9,FALSE),0)</f>
        <v>0</v>
      </c>
      <c r="P29">
        <f>IFERROR(VLOOKUP($C29,'Line downtime'!$A:$M,11,FALSE),0)</f>
        <v>0</v>
      </c>
      <c r="Q29">
        <f>IFERROR(VLOOKUP($C29,'Line downtime'!$A:$M,12,FALSE),0)</f>
        <v>0</v>
      </c>
    </row>
    <row r="30" spans="1:17" x14ac:dyDescent="0.3">
      <c r="A30" s="1">
        <v>45537</v>
      </c>
      <c r="B30" t="s">
        <v>28</v>
      </c>
      <c r="C30">
        <v>422139</v>
      </c>
      <c r="D30" t="s">
        <v>41</v>
      </c>
      <c r="E30" s="3">
        <v>0.1701388888888889</v>
      </c>
      <c r="F30" s="3">
        <v>0.2361111111111111</v>
      </c>
      <c r="G30" s="6">
        <f t="shared" si="0"/>
        <v>95</v>
      </c>
      <c r="H30">
        <f>VLOOKUP(B30,Products!A:D,4,FALSE)</f>
        <v>60</v>
      </c>
      <c r="I30" s="8">
        <f t="shared" si="1"/>
        <v>0.63157894736842102</v>
      </c>
      <c r="J30" s="6">
        <f>IFERROR(VLOOKUP(C30,'Line downtime'!A:M,2,FALSE),0)+IFERROR(VLOOKUP(C30,'Line downtime'!A:M,3,FALSE),0)+IFERROR(VLOOKUP(C30,'Line downtime'!A:M,4,FALSE),0)+IFERROR(VLOOKUP(C30,'Line downtime'!A:M,5,FALSE),0)+IFERROR(VLOOKUP(C30,'Line downtime'!A:M,6,FALSE),0)+IFERROR(VLOOKUP(C30,'Line downtime'!A:M,7,FALSE),0)+IFERROR(VLOOKUP(C30,'Line downtime'!A:M,8,FALSE),0)+IFERROR(VLOOKUP(C30,'Line downtime'!A:M,9,FALSE),0)+IFERROR(VLOOKUP(C30,'Line downtime'!A:M,10,FALSE),0)+IFERROR(VLOOKUP(C30,'Line downtime'!A:M,11,FALSE),0)+IFERROR(VLOOKUP(C30,'Line downtime'!A:M,12,FALSE),0)+IFERROR(VLOOKUP(C30,'Line downtime'!A:M,13,FALSE),0)</f>
        <v>35</v>
      </c>
      <c r="K30">
        <f t="shared" si="2"/>
        <v>1</v>
      </c>
      <c r="L30">
        <f>IFERROR(VLOOKUP($C30,'Line downtime'!$A:$M,3,FALSE),0)</f>
        <v>0</v>
      </c>
      <c r="M30">
        <f>IFERROR(VLOOKUP($C30,'Line downtime'!$A:$M,6,FALSE),0)</f>
        <v>0</v>
      </c>
      <c r="N30">
        <f>IFERROR(VLOOKUP($C30,'Line downtime'!$A:$M,7,FALSE),0)</f>
        <v>15</v>
      </c>
      <c r="O30">
        <f>IFERROR(VLOOKUP($C30,'Line downtime'!$A:$M,9,FALSE),0)</f>
        <v>0</v>
      </c>
      <c r="P30">
        <f>IFERROR(VLOOKUP($C30,'Line downtime'!$A:$M,11,FALSE),0)</f>
        <v>0</v>
      </c>
      <c r="Q30">
        <f>IFERROR(VLOOKUP($C30,'Line downtime'!$A:$M,12,FALSE),0)</f>
        <v>0</v>
      </c>
    </row>
    <row r="31" spans="1:17" x14ac:dyDescent="0.3">
      <c r="A31" s="1">
        <v>45537</v>
      </c>
      <c r="B31" t="s">
        <v>28</v>
      </c>
      <c r="C31">
        <v>422140</v>
      </c>
      <c r="D31" t="s">
        <v>41</v>
      </c>
      <c r="E31" s="3">
        <v>0.2361111111111111</v>
      </c>
      <c r="F31" s="3">
        <v>0.3215277777777778</v>
      </c>
      <c r="G31" s="6">
        <f t="shared" si="0"/>
        <v>123</v>
      </c>
      <c r="H31">
        <f>VLOOKUP(B31,Products!A:D,4,FALSE)</f>
        <v>60</v>
      </c>
      <c r="I31" s="8">
        <f t="shared" si="1"/>
        <v>0.48780487804878048</v>
      </c>
      <c r="J31" s="6">
        <f>IFERROR(VLOOKUP(C31,'Line downtime'!A:M,2,FALSE),0)+IFERROR(VLOOKUP(C31,'Line downtime'!A:M,3,FALSE),0)+IFERROR(VLOOKUP(C31,'Line downtime'!A:M,4,FALSE),0)+IFERROR(VLOOKUP(C31,'Line downtime'!A:M,5,FALSE),0)+IFERROR(VLOOKUP(C31,'Line downtime'!A:M,6,FALSE),0)+IFERROR(VLOOKUP(C31,'Line downtime'!A:M,7,FALSE),0)+IFERROR(VLOOKUP(C31,'Line downtime'!A:M,8,FALSE),0)+IFERROR(VLOOKUP(C31,'Line downtime'!A:M,9,FALSE),0)+IFERROR(VLOOKUP(C31,'Line downtime'!A:M,10,FALSE),0)+IFERROR(VLOOKUP(C31,'Line downtime'!A:M,11,FALSE),0)+IFERROR(VLOOKUP(C31,'Line downtime'!A:M,12,FALSE),0)+IFERROR(VLOOKUP(C31,'Line downtime'!A:M,13,FALSE),0)</f>
        <v>63</v>
      </c>
      <c r="K31">
        <f t="shared" si="2"/>
        <v>1</v>
      </c>
      <c r="L31">
        <f>IFERROR(VLOOKUP($C31,'Line downtime'!$A:$M,3,FALSE),0)</f>
        <v>0</v>
      </c>
      <c r="M31">
        <f>IFERROR(VLOOKUP($C31,'Line downtime'!$A:$M,6,FALSE),0)</f>
        <v>0</v>
      </c>
      <c r="N31">
        <f>IFERROR(VLOOKUP($C31,'Line downtime'!$A:$M,7,FALSE),0)</f>
        <v>50</v>
      </c>
      <c r="O31">
        <f>IFERROR(VLOOKUP($C31,'Line downtime'!$A:$M,9,FALSE),0)</f>
        <v>0</v>
      </c>
      <c r="P31">
        <f>IFERROR(VLOOKUP($C31,'Line downtime'!$A:$M,11,FALSE),0)</f>
        <v>0</v>
      </c>
      <c r="Q31">
        <f>IFERROR(VLOOKUP($C31,'Line downtime'!$A:$M,12,FALSE),0)</f>
        <v>13</v>
      </c>
    </row>
    <row r="32" spans="1:17" x14ac:dyDescent="0.3">
      <c r="A32" s="1">
        <v>45537</v>
      </c>
      <c r="B32" t="s">
        <v>28</v>
      </c>
      <c r="C32">
        <v>422141</v>
      </c>
      <c r="D32" t="s">
        <v>42</v>
      </c>
      <c r="E32" s="3">
        <v>0.3215277777777778</v>
      </c>
      <c r="F32" s="3">
        <v>0.36805555555555558</v>
      </c>
      <c r="G32" s="6">
        <f t="shared" si="0"/>
        <v>67</v>
      </c>
      <c r="H32">
        <f>VLOOKUP(B32,Products!A:D,4,FALSE)</f>
        <v>60</v>
      </c>
      <c r="I32" s="8">
        <f t="shared" si="1"/>
        <v>0.89552238805970152</v>
      </c>
      <c r="J32" s="6">
        <f>IFERROR(VLOOKUP(C32,'Line downtime'!A:M,2,FALSE),0)+IFERROR(VLOOKUP(C32,'Line downtime'!A:M,3,FALSE),0)+IFERROR(VLOOKUP(C32,'Line downtime'!A:M,4,FALSE),0)+IFERROR(VLOOKUP(C32,'Line downtime'!A:M,5,FALSE),0)+IFERROR(VLOOKUP(C32,'Line downtime'!A:M,6,FALSE),0)+IFERROR(VLOOKUP(C32,'Line downtime'!A:M,7,FALSE),0)+IFERROR(VLOOKUP(C32,'Line downtime'!A:M,8,FALSE),0)+IFERROR(VLOOKUP(C32,'Line downtime'!A:M,9,FALSE),0)+IFERROR(VLOOKUP(C32,'Line downtime'!A:M,10,FALSE),0)+IFERROR(VLOOKUP(C32,'Line downtime'!A:M,11,FALSE),0)+IFERROR(VLOOKUP(C32,'Line downtime'!A:M,12,FALSE),0)+IFERROR(VLOOKUP(C32,'Line downtime'!A:M,13,FALSE),0)</f>
        <v>7</v>
      </c>
      <c r="K32">
        <f t="shared" si="2"/>
        <v>1</v>
      </c>
      <c r="L32">
        <f>IFERROR(VLOOKUP($C32,'Line downtime'!$A:$M,3,FALSE),0)</f>
        <v>0</v>
      </c>
      <c r="M32">
        <f>IFERROR(VLOOKUP($C32,'Line downtime'!$A:$M,6,FALSE),0)</f>
        <v>0</v>
      </c>
      <c r="N32">
        <f>IFERROR(VLOOKUP($C32,'Line downtime'!$A:$M,7,FALSE),0)</f>
        <v>0</v>
      </c>
      <c r="O32">
        <f>IFERROR(VLOOKUP($C32,'Line downtime'!$A:$M,9,FALSE),0)</f>
        <v>0</v>
      </c>
      <c r="P32">
        <f>IFERROR(VLOOKUP($C32,'Line downtime'!$A:$M,11,FALSE),0)</f>
        <v>0</v>
      </c>
      <c r="Q32">
        <f>IFERROR(VLOOKUP($C32,'Line downtime'!$A:$M,12,FALSE),0)</f>
        <v>0</v>
      </c>
    </row>
    <row r="33" spans="1:17" x14ac:dyDescent="0.3">
      <c r="A33" s="1">
        <v>45537</v>
      </c>
      <c r="B33" t="s">
        <v>28</v>
      </c>
      <c r="C33">
        <v>422142</v>
      </c>
      <c r="D33" t="s">
        <v>42</v>
      </c>
      <c r="E33" s="3">
        <v>0.36805555555555558</v>
      </c>
      <c r="F33" s="3">
        <v>0.43055555555555558</v>
      </c>
      <c r="G33" s="6">
        <f t="shared" si="0"/>
        <v>90</v>
      </c>
      <c r="H33">
        <f>VLOOKUP(B33,Products!A:D,4,FALSE)</f>
        <v>60</v>
      </c>
      <c r="I33" s="8">
        <f t="shared" si="1"/>
        <v>0.66666666666666663</v>
      </c>
      <c r="J33" s="6">
        <f>IFERROR(VLOOKUP(C33,'Line downtime'!A:M,2,FALSE),0)+IFERROR(VLOOKUP(C33,'Line downtime'!A:M,3,FALSE),0)+IFERROR(VLOOKUP(C33,'Line downtime'!A:M,4,FALSE),0)+IFERROR(VLOOKUP(C33,'Line downtime'!A:M,5,FALSE),0)+IFERROR(VLOOKUP(C33,'Line downtime'!A:M,6,FALSE),0)+IFERROR(VLOOKUP(C33,'Line downtime'!A:M,7,FALSE),0)+IFERROR(VLOOKUP(C33,'Line downtime'!A:M,8,FALSE),0)+IFERROR(VLOOKUP(C33,'Line downtime'!A:M,9,FALSE),0)+IFERROR(VLOOKUP(C33,'Line downtime'!A:M,10,FALSE),0)+IFERROR(VLOOKUP(C33,'Line downtime'!A:M,11,FALSE),0)+IFERROR(VLOOKUP(C33,'Line downtime'!A:M,12,FALSE),0)+IFERROR(VLOOKUP(C33,'Line downtime'!A:M,13,FALSE),0)</f>
        <v>30</v>
      </c>
      <c r="K33">
        <f t="shared" si="2"/>
        <v>1</v>
      </c>
      <c r="L33">
        <f>IFERROR(VLOOKUP($C33,'Line downtime'!$A:$M,3,FALSE),0)</f>
        <v>0</v>
      </c>
      <c r="M33">
        <f>IFERROR(VLOOKUP($C33,'Line downtime'!$A:$M,6,FALSE),0)</f>
        <v>0</v>
      </c>
      <c r="N33">
        <f>IFERROR(VLOOKUP($C33,'Line downtime'!$A:$M,7,FALSE),0)</f>
        <v>30</v>
      </c>
      <c r="O33">
        <f>IFERROR(VLOOKUP($C33,'Line downtime'!$A:$M,9,FALSE),0)</f>
        <v>0</v>
      </c>
      <c r="P33">
        <f>IFERROR(VLOOKUP($C33,'Line downtime'!$A:$M,11,FALSE),0)</f>
        <v>0</v>
      </c>
      <c r="Q33">
        <f>IFERROR(VLOOKUP($C33,'Line downtime'!$A:$M,12,FALSE),0)</f>
        <v>0</v>
      </c>
    </row>
    <row r="34" spans="1:17" x14ac:dyDescent="0.3">
      <c r="A34" s="1">
        <v>45537</v>
      </c>
      <c r="B34" t="s">
        <v>28</v>
      </c>
      <c r="C34">
        <v>422143</v>
      </c>
      <c r="D34" t="s">
        <v>42</v>
      </c>
      <c r="E34" s="3">
        <v>0.43055555555555558</v>
      </c>
      <c r="F34" s="3">
        <v>0.51249999999999996</v>
      </c>
      <c r="G34" s="6">
        <f t="shared" si="0"/>
        <v>118</v>
      </c>
      <c r="H34">
        <f>VLOOKUP(B34,Products!A:D,4,FALSE)</f>
        <v>60</v>
      </c>
      <c r="I34" s="8">
        <f t="shared" si="1"/>
        <v>0.50847457627118642</v>
      </c>
      <c r="J34" s="6">
        <f>IFERROR(VLOOKUP(C34,'Line downtime'!A:M,2,FALSE),0)+IFERROR(VLOOKUP(C34,'Line downtime'!A:M,3,FALSE),0)+IFERROR(VLOOKUP(C34,'Line downtime'!A:M,4,FALSE),0)+IFERROR(VLOOKUP(C34,'Line downtime'!A:M,5,FALSE),0)+IFERROR(VLOOKUP(C34,'Line downtime'!A:M,6,FALSE),0)+IFERROR(VLOOKUP(C34,'Line downtime'!A:M,7,FALSE),0)+IFERROR(VLOOKUP(C34,'Line downtime'!A:M,8,FALSE),0)+IFERROR(VLOOKUP(C34,'Line downtime'!A:M,9,FALSE),0)+IFERROR(VLOOKUP(C34,'Line downtime'!A:M,10,FALSE),0)+IFERROR(VLOOKUP(C34,'Line downtime'!A:M,11,FALSE),0)+IFERROR(VLOOKUP(C34,'Line downtime'!A:M,12,FALSE),0)+IFERROR(VLOOKUP(C34,'Line downtime'!A:M,13,FALSE),0)</f>
        <v>58</v>
      </c>
      <c r="K34">
        <f t="shared" si="2"/>
        <v>1</v>
      </c>
      <c r="L34">
        <f>IFERROR(VLOOKUP($C34,'Line downtime'!$A:$M,3,FALSE),0)</f>
        <v>0</v>
      </c>
      <c r="M34">
        <f>IFERROR(VLOOKUP($C34,'Line downtime'!$A:$M,6,FALSE),0)</f>
        <v>0</v>
      </c>
      <c r="N34">
        <f>IFERROR(VLOOKUP($C34,'Line downtime'!$A:$M,7,FALSE),0)</f>
        <v>40</v>
      </c>
      <c r="O34">
        <f>IFERROR(VLOOKUP($C34,'Line downtime'!$A:$M,9,FALSE),0)</f>
        <v>0</v>
      </c>
      <c r="P34">
        <f>IFERROR(VLOOKUP($C34,'Line downtime'!$A:$M,11,FALSE),0)</f>
        <v>0</v>
      </c>
      <c r="Q34">
        <f>IFERROR(VLOOKUP($C34,'Line downtime'!$A:$M,12,FALSE),0)</f>
        <v>0</v>
      </c>
    </row>
    <row r="35" spans="1:17" x14ac:dyDescent="0.3">
      <c r="A35" s="1">
        <v>45537</v>
      </c>
      <c r="B35" t="s">
        <v>29</v>
      </c>
      <c r="C35">
        <v>422144</v>
      </c>
      <c r="D35" t="s">
        <v>42</v>
      </c>
      <c r="E35" s="3">
        <v>0.51249999999999996</v>
      </c>
      <c r="F35" s="3">
        <v>0.61805555555555558</v>
      </c>
      <c r="G35" s="6">
        <f t="shared" si="0"/>
        <v>152</v>
      </c>
      <c r="H35">
        <f>VLOOKUP(B35,Products!A:D,4,FALSE)</f>
        <v>98</v>
      </c>
      <c r="I35" s="8">
        <f t="shared" si="1"/>
        <v>0.64473684210526316</v>
      </c>
      <c r="J35" s="6">
        <f>IFERROR(VLOOKUP(C35,'Line downtime'!A:M,2,FALSE),0)+IFERROR(VLOOKUP(C35,'Line downtime'!A:M,3,FALSE),0)+IFERROR(VLOOKUP(C35,'Line downtime'!A:M,4,FALSE),0)+IFERROR(VLOOKUP(C35,'Line downtime'!A:M,5,FALSE),0)+IFERROR(VLOOKUP(C35,'Line downtime'!A:M,6,FALSE),0)+IFERROR(VLOOKUP(C35,'Line downtime'!A:M,7,FALSE),0)+IFERROR(VLOOKUP(C35,'Line downtime'!A:M,8,FALSE),0)+IFERROR(VLOOKUP(C35,'Line downtime'!A:M,9,FALSE),0)+IFERROR(VLOOKUP(C35,'Line downtime'!A:M,10,FALSE),0)+IFERROR(VLOOKUP(C35,'Line downtime'!A:M,11,FALSE),0)+IFERROR(VLOOKUP(C35,'Line downtime'!A:M,12,FALSE),0)+IFERROR(VLOOKUP(C35,'Line downtime'!A:M,13,FALSE),0)</f>
        <v>54</v>
      </c>
      <c r="K35">
        <f t="shared" si="2"/>
        <v>1</v>
      </c>
      <c r="L35">
        <f>IFERROR(VLOOKUP($C35,'Line downtime'!$A:$M,3,FALSE),0)</f>
        <v>0</v>
      </c>
      <c r="M35">
        <f>IFERROR(VLOOKUP($C35,'Line downtime'!$A:$M,6,FALSE),0)</f>
        <v>0</v>
      </c>
      <c r="N35">
        <f>IFERROR(VLOOKUP($C35,'Line downtime'!$A:$M,7,FALSE),0)</f>
        <v>30</v>
      </c>
      <c r="O35">
        <f>IFERROR(VLOOKUP($C35,'Line downtime'!$A:$M,9,FALSE),0)</f>
        <v>24</v>
      </c>
      <c r="P35">
        <f>IFERROR(VLOOKUP($C35,'Line downtime'!$A:$M,11,FALSE),0)</f>
        <v>0</v>
      </c>
      <c r="Q35">
        <f>IFERROR(VLOOKUP($C35,'Line downtime'!$A:$M,12,FALSE),0)</f>
        <v>0</v>
      </c>
    </row>
    <row r="36" spans="1:17" x14ac:dyDescent="0.3">
      <c r="A36" s="1">
        <v>45537</v>
      </c>
      <c r="B36" t="s">
        <v>29</v>
      </c>
      <c r="C36">
        <v>422145</v>
      </c>
      <c r="D36" t="s">
        <v>40</v>
      </c>
      <c r="E36" s="3">
        <v>0.61805555555555558</v>
      </c>
      <c r="F36" s="3">
        <v>0.70138888888888895</v>
      </c>
      <c r="G36" s="6">
        <f t="shared" si="0"/>
        <v>120</v>
      </c>
      <c r="H36">
        <f>VLOOKUP(B36,Products!A:D,4,FALSE)</f>
        <v>98</v>
      </c>
      <c r="I36" s="8">
        <f t="shared" si="1"/>
        <v>0.81666666666666665</v>
      </c>
      <c r="J36" s="6">
        <f>IFERROR(VLOOKUP(C36,'Line downtime'!A:M,2,FALSE),0)+IFERROR(VLOOKUP(C36,'Line downtime'!A:M,3,FALSE),0)+IFERROR(VLOOKUP(C36,'Line downtime'!A:M,4,FALSE),0)+IFERROR(VLOOKUP(C36,'Line downtime'!A:M,5,FALSE),0)+IFERROR(VLOOKUP(C36,'Line downtime'!A:M,6,FALSE),0)+IFERROR(VLOOKUP(C36,'Line downtime'!A:M,7,FALSE),0)+IFERROR(VLOOKUP(C36,'Line downtime'!A:M,8,FALSE),0)+IFERROR(VLOOKUP(C36,'Line downtime'!A:M,9,FALSE),0)+IFERROR(VLOOKUP(C36,'Line downtime'!A:M,10,FALSE),0)+IFERROR(VLOOKUP(C36,'Line downtime'!A:M,11,FALSE),0)+IFERROR(VLOOKUP(C36,'Line downtime'!A:M,12,FALSE),0)+IFERROR(VLOOKUP(C36,'Line downtime'!A:M,13,FALSE),0)</f>
        <v>22</v>
      </c>
      <c r="K36">
        <f t="shared" si="2"/>
        <v>1</v>
      </c>
      <c r="L36">
        <f>IFERROR(VLOOKUP($C36,'Line downtime'!$A:$M,3,FALSE),0)</f>
        <v>0</v>
      </c>
      <c r="M36">
        <f>IFERROR(VLOOKUP($C36,'Line downtime'!$A:$M,6,FALSE),0)</f>
        <v>0</v>
      </c>
      <c r="N36">
        <f>IFERROR(VLOOKUP($C36,'Line downtime'!$A:$M,7,FALSE),0)</f>
        <v>0</v>
      </c>
      <c r="O36">
        <f>IFERROR(VLOOKUP($C36,'Line downtime'!$A:$M,9,FALSE),0)</f>
        <v>0</v>
      </c>
      <c r="P36">
        <f>IFERROR(VLOOKUP($C36,'Line downtime'!$A:$M,11,FALSE),0)</f>
        <v>0</v>
      </c>
      <c r="Q36">
        <f>IFERROR(VLOOKUP($C36,'Line downtime'!$A:$M,12,FALSE),0)</f>
        <v>0</v>
      </c>
    </row>
    <row r="37" spans="1:17" x14ac:dyDescent="0.3">
      <c r="A37" s="1">
        <v>45537</v>
      </c>
      <c r="B37" t="s">
        <v>29</v>
      </c>
      <c r="C37">
        <v>422146</v>
      </c>
      <c r="D37" t="s">
        <v>40</v>
      </c>
      <c r="E37" s="3">
        <v>0.70138888888888895</v>
      </c>
      <c r="F37" s="3">
        <v>0.8125</v>
      </c>
      <c r="G37" s="6">
        <f t="shared" si="0"/>
        <v>160</v>
      </c>
      <c r="H37">
        <f>VLOOKUP(B37,Products!A:D,4,FALSE)</f>
        <v>98</v>
      </c>
      <c r="I37" s="8">
        <f t="shared" si="1"/>
        <v>0.61250000000000004</v>
      </c>
      <c r="J37" s="6">
        <f>IFERROR(VLOOKUP(C37,'Line downtime'!A:M,2,FALSE),0)+IFERROR(VLOOKUP(C37,'Line downtime'!A:M,3,FALSE),0)+IFERROR(VLOOKUP(C37,'Line downtime'!A:M,4,FALSE),0)+IFERROR(VLOOKUP(C37,'Line downtime'!A:M,5,FALSE),0)+IFERROR(VLOOKUP(C37,'Line downtime'!A:M,6,FALSE),0)+IFERROR(VLOOKUP(C37,'Line downtime'!A:M,7,FALSE),0)+IFERROR(VLOOKUP(C37,'Line downtime'!A:M,8,FALSE),0)+IFERROR(VLOOKUP(C37,'Line downtime'!A:M,9,FALSE),0)+IFERROR(VLOOKUP(C37,'Line downtime'!A:M,10,FALSE),0)+IFERROR(VLOOKUP(C37,'Line downtime'!A:M,11,FALSE),0)+IFERROR(VLOOKUP(C37,'Line downtime'!A:M,12,FALSE),0)+IFERROR(VLOOKUP(C37,'Line downtime'!A:M,13,FALSE),0)</f>
        <v>62</v>
      </c>
      <c r="K37">
        <f t="shared" si="2"/>
        <v>1</v>
      </c>
      <c r="L37">
        <f>IFERROR(VLOOKUP($C37,'Line downtime'!$A:$M,3,FALSE),0)</f>
        <v>0</v>
      </c>
      <c r="M37">
        <f>IFERROR(VLOOKUP($C37,'Line downtime'!$A:$M,6,FALSE),0)</f>
        <v>0</v>
      </c>
      <c r="N37">
        <f>IFERROR(VLOOKUP($C37,'Line downtime'!$A:$M,7,FALSE),0)</f>
        <v>30</v>
      </c>
      <c r="O37">
        <f>IFERROR(VLOOKUP($C37,'Line downtime'!$A:$M,9,FALSE),0)</f>
        <v>0</v>
      </c>
      <c r="P37">
        <f>IFERROR(VLOOKUP($C37,'Line downtime'!$A:$M,11,FALSE),0)</f>
        <v>0</v>
      </c>
      <c r="Q37">
        <f>IFERROR(VLOOKUP($C37,'Line downtime'!$A:$M,12,FALSE),0)</f>
        <v>0</v>
      </c>
    </row>
    <row r="38" spans="1:17" x14ac:dyDescent="0.3">
      <c r="A38" s="1">
        <v>45537</v>
      </c>
      <c r="B38" t="s">
        <v>29</v>
      </c>
      <c r="C38">
        <v>422147</v>
      </c>
      <c r="D38" t="s">
        <v>40</v>
      </c>
      <c r="E38" s="3">
        <v>0.8125</v>
      </c>
      <c r="F38" s="3">
        <v>0.95486111111111116</v>
      </c>
      <c r="G38" s="6">
        <f t="shared" si="0"/>
        <v>205</v>
      </c>
      <c r="H38">
        <f>VLOOKUP(B38,Products!A:D,4,FALSE)</f>
        <v>98</v>
      </c>
      <c r="I38" s="8">
        <f t="shared" si="1"/>
        <v>0.47804878048780486</v>
      </c>
      <c r="J38" s="6">
        <f>IFERROR(VLOOKUP(C38,'Line downtime'!A:M,2,FALSE),0)+IFERROR(VLOOKUP(C38,'Line downtime'!A:M,3,FALSE),0)+IFERROR(VLOOKUP(C38,'Line downtime'!A:M,4,FALSE),0)+IFERROR(VLOOKUP(C38,'Line downtime'!A:M,5,FALSE),0)+IFERROR(VLOOKUP(C38,'Line downtime'!A:M,6,FALSE),0)+IFERROR(VLOOKUP(C38,'Line downtime'!A:M,7,FALSE),0)+IFERROR(VLOOKUP(C38,'Line downtime'!A:M,8,FALSE),0)+IFERROR(VLOOKUP(C38,'Line downtime'!A:M,9,FALSE),0)+IFERROR(VLOOKUP(C38,'Line downtime'!A:M,10,FALSE),0)+IFERROR(VLOOKUP(C38,'Line downtime'!A:M,11,FALSE),0)+IFERROR(VLOOKUP(C38,'Line downtime'!A:M,12,FALSE),0)+IFERROR(VLOOKUP(C38,'Line downtime'!A:M,13,FALSE),0)</f>
        <v>107</v>
      </c>
      <c r="K38">
        <f t="shared" si="2"/>
        <v>1</v>
      </c>
      <c r="L38">
        <f>IFERROR(VLOOKUP($C38,'Line downtime'!$A:$M,3,FALSE),0)</f>
        <v>0</v>
      </c>
      <c r="M38">
        <f>IFERROR(VLOOKUP($C38,'Line downtime'!$A:$M,6,FALSE),0)</f>
        <v>0</v>
      </c>
      <c r="N38">
        <f>IFERROR(VLOOKUP($C38,'Line downtime'!$A:$M,7,FALSE),0)</f>
        <v>60</v>
      </c>
      <c r="O38">
        <f>IFERROR(VLOOKUP($C38,'Line downtime'!$A:$M,9,FALSE),0)</f>
        <v>0</v>
      </c>
      <c r="P38">
        <f>IFERROR(VLOOKUP($C38,'Line downtime'!$A:$M,11,FALSE),0)</f>
        <v>0</v>
      </c>
      <c r="Q38">
        <f>IFERROR(VLOOKUP($C38,'Line downtime'!$A:$M,12,FALSE),0)</f>
        <v>0</v>
      </c>
    </row>
    <row r="39" spans="1:17" x14ac:dyDescent="0.3">
      <c r="A39" s="1">
        <v>45538</v>
      </c>
      <c r="B39" t="s">
        <v>29</v>
      </c>
      <c r="C39">
        <v>422148</v>
      </c>
      <c r="D39" t="s">
        <v>43</v>
      </c>
      <c r="E39" s="3">
        <v>0.95486111111111116</v>
      </c>
      <c r="F39" s="3">
        <v>1.0451388888888888</v>
      </c>
      <c r="G39" s="6">
        <f t="shared" si="0"/>
        <v>130</v>
      </c>
      <c r="H39">
        <f>VLOOKUP(B39,Products!A:D,4,FALSE)</f>
        <v>98</v>
      </c>
      <c r="I39" s="8">
        <f t="shared" si="1"/>
        <v>0.75384615384615383</v>
      </c>
      <c r="J39" s="6">
        <f>IFERROR(VLOOKUP(C39,'Line downtime'!A:M,2,FALSE),0)+IFERROR(VLOOKUP(C39,'Line downtime'!A:M,3,FALSE),0)+IFERROR(VLOOKUP(C39,'Line downtime'!A:M,4,FALSE),0)+IFERROR(VLOOKUP(C39,'Line downtime'!A:M,5,FALSE),0)+IFERROR(VLOOKUP(C39,'Line downtime'!A:M,6,FALSE),0)+IFERROR(VLOOKUP(C39,'Line downtime'!A:M,7,FALSE),0)+IFERROR(VLOOKUP(C39,'Line downtime'!A:M,8,FALSE),0)+IFERROR(VLOOKUP(C39,'Line downtime'!A:M,9,FALSE),0)+IFERROR(VLOOKUP(C39,'Line downtime'!A:M,10,FALSE),0)+IFERROR(VLOOKUP(C39,'Line downtime'!A:M,11,FALSE),0)+IFERROR(VLOOKUP(C39,'Line downtime'!A:M,12,FALSE),0)+IFERROR(VLOOKUP(C39,'Line downtime'!A:M,13,FALSE),0)</f>
        <v>32</v>
      </c>
      <c r="K39">
        <f t="shared" si="2"/>
        <v>1</v>
      </c>
      <c r="L39">
        <f>IFERROR(VLOOKUP($C39,'Line downtime'!$A:$M,3,FALSE),0)</f>
        <v>0</v>
      </c>
      <c r="M39">
        <f>IFERROR(VLOOKUP($C39,'Line downtime'!$A:$M,6,FALSE),0)</f>
        <v>0</v>
      </c>
      <c r="N39">
        <f>IFERROR(VLOOKUP($C39,'Line downtime'!$A:$M,7,FALSE),0)</f>
        <v>0</v>
      </c>
      <c r="O39">
        <f>IFERROR(VLOOKUP($C39,'Line downtime'!$A:$M,9,FALSE),0)</f>
        <v>7</v>
      </c>
      <c r="P39">
        <f>IFERROR(VLOOKUP($C39,'Line downtime'!$A:$M,11,FALSE),0)</f>
        <v>0</v>
      </c>
      <c r="Q39">
        <f>IFERROR(VLOOKUP($C39,'Line downtime'!$A:$M,12,FALSE),0)</f>
        <v>0</v>
      </c>
    </row>
    <row r="40" spans="1:17" x14ac:dyDescent="0.3">
      <c r="I40" s="8">
        <f>AVERAGE(I2:I39)</f>
        <v>0.67076696575609596</v>
      </c>
    </row>
    <row r="42" spans="1:17" x14ac:dyDescent="0.3">
      <c r="A42" t="s">
        <v>3</v>
      </c>
      <c r="B42" s="8" t="s">
        <v>49</v>
      </c>
      <c r="C42" s="9" t="s">
        <v>50</v>
      </c>
      <c r="D42" t="s">
        <v>58</v>
      </c>
      <c r="E42" t="s">
        <v>59</v>
      </c>
      <c r="F42" t="s">
        <v>60</v>
      </c>
      <c r="G42" s="6" t="s">
        <v>61</v>
      </c>
      <c r="H42" t="s">
        <v>62</v>
      </c>
      <c r="I42" s="8" t="s">
        <v>63</v>
      </c>
    </row>
    <row r="43" spans="1:17" x14ac:dyDescent="0.3">
      <c r="A43" t="s">
        <v>43</v>
      </c>
      <c r="B43" s="8">
        <f>AVERAGEIF($D$2:$D$39,A43,$I$2:$I$39)</f>
        <v>0.63257853257853258</v>
      </c>
      <c r="C43" s="9">
        <f>AVERAGEIF($D$2:$D$39,A43,$J$2:$J$39)</f>
        <v>41.5</v>
      </c>
      <c r="D43">
        <f>SUMIF($D$2:$D$39,A43,$L$2:$L$39)</f>
        <v>130</v>
      </c>
      <c r="E43">
        <f>SUMIF($D$2:$D$39,A43,$M$2:$M$39)</f>
        <v>0</v>
      </c>
      <c r="F43">
        <f>SUMIF($D$2:$D$39,A43,$N$2:$N$39)</f>
        <v>15</v>
      </c>
      <c r="G43">
        <f>SUMIF($D$2:$D$39,A43,$O$2:$O$39)</f>
        <v>47</v>
      </c>
      <c r="H43">
        <f>SUMIF($D$2:$D$39,A43,$P$2:$P$39)</f>
        <v>0</v>
      </c>
      <c r="I43">
        <f>SUMIF($D$2:$D$39,A43,$Q$2:$Q$39)</f>
        <v>0</v>
      </c>
    </row>
    <row r="44" spans="1:17" x14ac:dyDescent="0.3">
      <c r="A44" t="s">
        <v>40</v>
      </c>
      <c r="B44" s="8">
        <f t="shared" ref="B44:B46" si="3">AVERAGEIF($D$2:$D$39,A44,$I$2:$I$39)</f>
        <v>0.70973000821296428</v>
      </c>
      <c r="C44" s="9">
        <f t="shared" ref="C44:C46" si="4">AVERAGEIF($D$2:$D$39,A44,$J$2:$J$39)</f>
        <v>34.909090909090907</v>
      </c>
      <c r="D44">
        <f>SUMIF($D$2:$D$39,A44,$L$2:$L$39)</f>
        <v>10</v>
      </c>
      <c r="E44">
        <f t="shared" ref="E44:E46" si="5">SUMIF($D$2:$D$39,A44,$M$2:$M$39)</f>
        <v>22</v>
      </c>
      <c r="F44">
        <f t="shared" ref="F44:F46" si="6">SUMIF($D$2:$D$39,A44,$N$2:$N$39)</f>
        <v>118</v>
      </c>
      <c r="G44">
        <f t="shared" ref="G44:G46" si="7">SUMIF($D$2:$D$39,A44,$O$2:$O$39)</f>
        <v>44</v>
      </c>
      <c r="H44">
        <f t="shared" ref="H44:H46" si="8">SUMIF($D$2:$D$39,A44,$P$2:$P$39)</f>
        <v>24</v>
      </c>
      <c r="I44">
        <f t="shared" ref="I44:I46" si="9">SUMIF($D$2:$D$39,A44,$Q$2:$Q$39)</f>
        <v>10</v>
      </c>
    </row>
    <row r="45" spans="1:17" x14ac:dyDescent="0.3">
      <c r="A45" t="s">
        <v>41</v>
      </c>
      <c r="B45" s="8">
        <f t="shared" si="3"/>
        <v>0.66809779110617284</v>
      </c>
      <c r="C45" s="9">
        <f t="shared" si="4"/>
        <v>33.636363636363633</v>
      </c>
      <c r="D45">
        <f t="shared" ref="D44:D46" si="10">SUMIF($D$2:$D$39,A45,$L$2:$L$39)</f>
        <v>20</v>
      </c>
      <c r="E45">
        <f t="shared" si="5"/>
        <v>15</v>
      </c>
      <c r="F45">
        <f t="shared" si="6"/>
        <v>79</v>
      </c>
      <c r="G45">
        <f t="shared" si="7"/>
        <v>30</v>
      </c>
      <c r="H45">
        <f t="shared" si="8"/>
        <v>25</v>
      </c>
      <c r="I45">
        <f t="shared" si="9"/>
        <v>23</v>
      </c>
    </row>
    <row r="46" spans="1:17" x14ac:dyDescent="0.3">
      <c r="A46" t="s">
        <v>42</v>
      </c>
      <c r="B46" s="8">
        <f t="shared" si="3"/>
        <v>0.65905133069910826</v>
      </c>
      <c r="C46" s="9">
        <f t="shared" si="4"/>
        <v>37.75</v>
      </c>
      <c r="D46">
        <f t="shared" si="10"/>
        <v>0</v>
      </c>
      <c r="E46">
        <f t="shared" si="5"/>
        <v>20</v>
      </c>
      <c r="F46">
        <f t="shared" si="6"/>
        <v>120</v>
      </c>
      <c r="G46">
        <f t="shared" si="7"/>
        <v>24</v>
      </c>
      <c r="H46">
        <f t="shared" si="8"/>
        <v>0</v>
      </c>
      <c r="I46">
        <f t="shared" si="9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F4682-62E5-4EA2-93EE-92674FD76FAB}">
  <dimension ref="A1:Q5"/>
  <sheetViews>
    <sheetView tabSelected="1" zoomScale="80" zoomScaleNormal="80" workbookViewId="0">
      <selection activeCell="R17" sqref="R17"/>
    </sheetView>
  </sheetViews>
  <sheetFormatPr defaultRowHeight="14.4" x14ac:dyDescent="0.3"/>
  <cols>
    <col min="1" max="1" width="27.44140625" customWidth="1"/>
    <col min="2" max="2" width="18.5546875" style="8" customWidth="1"/>
    <col min="3" max="3" width="13" style="9" customWidth="1"/>
    <col min="4" max="4" width="24.6640625" customWidth="1"/>
    <col min="5" max="5" width="18.33203125" customWidth="1"/>
    <col min="6" max="7" width="25" bestFit="1" customWidth="1"/>
    <col min="8" max="8" width="27.109375" customWidth="1"/>
    <col min="9" max="9" width="18.33203125" customWidth="1"/>
    <col min="11" max="11" width="14.33203125" bestFit="1" customWidth="1"/>
    <col min="12" max="13" width="18.5546875" bestFit="1" customWidth="1"/>
    <col min="14" max="14" width="17.6640625" bestFit="1" customWidth="1"/>
    <col min="15" max="16" width="21.33203125" bestFit="1" customWidth="1"/>
    <col min="17" max="17" width="21.6640625" bestFit="1" customWidth="1"/>
    <col min="18" max="18" width="17.44140625" bestFit="1" customWidth="1"/>
  </cols>
  <sheetData>
    <row r="1" spans="1:17" x14ac:dyDescent="0.3">
      <c r="A1" s="23" t="s">
        <v>3</v>
      </c>
      <c r="B1" s="12" t="s">
        <v>49</v>
      </c>
      <c r="F1" s="10" t="s">
        <v>64</v>
      </c>
      <c r="G1" s="10" t="s">
        <v>65</v>
      </c>
      <c r="K1" s="10" t="s">
        <v>3</v>
      </c>
      <c r="L1" s="11" t="s">
        <v>58</v>
      </c>
      <c r="M1" s="11" t="s">
        <v>59</v>
      </c>
      <c r="N1" s="12" t="s">
        <v>60</v>
      </c>
      <c r="O1" s="11" t="s">
        <v>61</v>
      </c>
      <c r="P1" s="11" t="s">
        <v>69</v>
      </c>
      <c r="Q1" s="11" t="s">
        <v>63</v>
      </c>
    </row>
    <row r="2" spans="1:17" x14ac:dyDescent="0.3">
      <c r="A2" s="20" t="s">
        <v>43</v>
      </c>
      <c r="B2" s="21">
        <v>0.63257853257853258</v>
      </c>
      <c r="F2" s="10" t="s">
        <v>66</v>
      </c>
      <c r="G2" s="10">
        <v>229</v>
      </c>
      <c r="K2" s="10" t="s">
        <v>43</v>
      </c>
      <c r="L2" s="14">
        <v>130</v>
      </c>
      <c r="M2" s="14">
        <v>0</v>
      </c>
      <c r="N2" s="15">
        <v>15</v>
      </c>
      <c r="O2" s="14">
        <v>47</v>
      </c>
      <c r="P2" s="14">
        <v>0</v>
      </c>
      <c r="Q2" s="14">
        <v>0</v>
      </c>
    </row>
    <row r="3" spans="1:17" x14ac:dyDescent="0.3">
      <c r="A3" s="19" t="s">
        <v>40</v>
      </c>
      <c r="B3" s="22">
        <v>0.70973000821296428</v>
      </c>
      <c r="F3" s="10" t="s">
        <v>67</v>
      </c>
      <c r="G3" s="10">
        <v>338</v>
      </c>
      <c r="K3" s="10" t="s">
        <v>40</v>
      </c>
      <c r="L3" s="14">
        <v>10</v>
      </c>
      <c r="M3" s="14">
        <v>22</v>
      </c>
      <c r="N3" s="16">
        <v>118</v>
      </c>
      <c r="O3" s="14">
        <v>44</v>
      </c>
      <c r="P3" s="14">
        <v>24</v>
      </c>
      <c r="Q3" s="14">
        <v>10</v>
      </c>
    </row>
    <row r="4" spans="1:17" x14ac:dyDescent="0.3">
      <c r="A4" s="20" t="s">
        <v>41</v>
      </c>
      <c r="B4" s="21">
        <v>0.66809779110617284</v>
      </c>
      <c r="F4" s="10" t="s">
        <v>68</v>
      </c>
      <c r="G4" s="10">
        <v>261</v>
      </c>
      <c r="K4" s="10" t="s">
        <v>41</v>
      </c>
      <c r="L4" s="14">
        <v>20</v>
      </c>
      <c r="M4" s="14">
        <v>15</v>
      </c>
      <c r="N4" s="14">
        <v>79</v>
      </c>
      <c r="O4" s="14">
        <v>30</v>
      </c>
      <c r="P4" s="14">
        <v>25</v>
      </c>
      <c r="Q4" s="14">
        <v>23</v>
      </c>
    </row>
    <row r="5" spans="1:17" x14ac:dyDescent="0.3">
      <c r="A5" s="19" t="s">
        <v>42</v>
      </c>
      <c r="B5" s="22">
        <v>0.65905133069910826</v>
      </c>
      <c r="K5" s="13" t="s">
        <v>42</v>
      </c>
      <c r="L5" s="17">
        <v>0</v>
      </c>
      <c r="M5" s="17">
        <v>20</v>
      </c>
      <c r="N5" s="18">
        <v>120</v>
      </c>
      <c r="O5" s="17">
        <v>24</v>
      </c>
      <c r="P5" s="17">
        <v>0</v>
      </c>
      <c r="Q5" s="17">
        <v>0</v>
      </c>
    </row>
  </sheetData>
  <phoneticPr fontId="2" type="noConversion"/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Line productivity</vt:lpstr>
      <vt:lpstr>Products</vt:lpstr>
      <vt:lpstr>Downtime factors</vt:lpstr>
      <vt:lpstr>Line downtime</vt:lpstr>
      <vt:lpstr>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Michael Galvan</cp:lastModifiedBy>
  <dcterms:created xsi:type="dcterms:W3CDTF">2024-08-19T19:52:48Z</dcterms:created>
  <dcterms:modified xsi:type="dcterms:W3CDTF">2026-02-04T17:51:58Z</dcterms:modified>
</cp:coreProperties>
</file>